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Baseline" sheetId="3" state="visible" r:id="rId5"/>
    <sheet name="Model" sheetId="4" state="visible" r:id="rId6"/>
    <sheet name="Summary" sheetId="5" state="visible" r:id="rId7"/>
    <sheet name="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<sst xmlns="http://schemas.openxmlformats.org/spreadsheetml/2006/main" count="1267" uniqueCount="617">
  <si>
    <t xml:space="preserve">Restock Agent (with Intent Guard) + Soundbox Care: 8-quarter GMV and contribution projection</t>
  </si>
  <si>
    <t xml:space="preserve">Paytm Build for India AI Hackathon, Mumbai | Track 1: Merchant Growth AI | Kamalika Poddar</t>
  </si>
  <si>
    <t xml:space="preserve">What this model does</t>
  </si>
  <si>
    <t xml:space="preserve">1. Baseline: Paytm merchant GMV and device (subscription) merchants, projected with FORECAST (linear) on 8 reported quarters, Q2 FY25 to Q1 FY27. GROWTH (exponential) is shown alongside as a cross-check.</t>
  </si>
  <si>
    <t xml:space="preserve">2. Restock Agent: grocery and FMCG shops order stock from their suppliers through an agent that pays inside the owner's limits (Intent Guard). Credit is routed to whichever rail gives the merchant the best hit rate: Paytm partner lenders, MUDRA credit line on UPI, OCEN or ONDC Financial Services, all underwritten with Account Aggregator data.</t>
  </si>
  <si>
    <t xml:space="preserve">3. Soundbox Care: devices detect and fix their own faults, keep confirmations going on the owner's phone while down, and flag failures early, cutting field visits, replacements, downtime and churn.</t>
  </si>
  <si>
    <t xml:space="preserve">4. Nearby (Phase 2): consented hyperlocal offers inside the Paytm app, priced per verified new customer. Off by default; switch on only if NPCI's 30% UPI cap is enforced.</t>
  </si>
  <si>
    <t xml:space="preserve">5. Outputs: incremental GMV and contribution for 8 quarters from Q4 FY27 (Jan-Mar 2027 pilot) to Q3 FY29, in three scenarios (Bear, Base, Bull).</t>
  </si>
  <si>
    <t xml:space="preserve">How to use it</t>
  </si>
  <si>
    <t xml:space="preserve">Change blue cells on Assumptions (and reported actuals on Baseline). Every other number is a formula and recalculates.</t>
  </si>
  <si>
    <t xml:space="preserve">Colour code: blue text = input | black text = formula | green text = link to another sheet | yellow fill = key assumption.</t>
  </si>
  <si>
    <t xml:space="preserve">Units: lakh = 1,00,000 | crore = 1,00,00,000 | Rs 1 lakh crore = Rs 1,00,000 crore. Quarters follow India's April-March fiscal year.</t>
  </si>
  <si>
    <t xml:space="preserve">Contribution = revenue - variable costs + avoided costs (field visits, replacements, cashback replaced). Fixed engineering and platform costs are excluded: this is contribution, not EBITDA.</t>
  </si>
  <si>
    <t xml:space="preserve">Metrics</t>
  </si>
  <si>
    <t xml:space="preserve">North Star: Paytm-processed GMV per active device merchant (supplier payments new to Paytm plus extra sales). Co-headline: contribution per device merchant.</t>
  </si>
  <si>
    <t xml:space="preserve">Guardrails: device uptime and retention; credit quality of routed loans (partners' overdue rates).</t>
  </si>
  <si>
    <t xml:space="preserve">Sheets</t>
  </si>
  <si>
    <t xml:space="preserve">Assumptions: every input with Bear/Base/Bull values and the reason or source; rollout ramps; checks.</t>
  </si>
  <si>
    <t xml:space="preserve">Baseline: reported quarterly actuals with sources, FORECAST baseline, GROWTH cross-check, Q1 FY27 reference figures.</t>
  </si>
  <si>
    <t xml:space="preserve">Model: quarter-by-quarter build for each scenario (Restock, credit router, Soundbox Care, Nearby, totals, unit economics, merchant view).</t>
  </si>
  <si>
    <t xml:space="preserve">Summary: base-case quarter table, scenarios side by side, context.</t>
  </si>
  <si>
    <t xml:space="preserve">Sources: links for every reported number.</t>
  </si>
  <si>
    <t xml:space="preserve">Caveat: reported figures come from Paytm's disclosures, regulators and press coverage (see Sources). Everything else on Assumptions is a team estimate for a hackathon pitch, not Paytm data. Paytm's own device-ticket, lending and category data would replace several estimates directly.</t>
  </si>
  <si>
    <t xml:space="preserve">Assumptions: Restock Agent (with Intent Guard) + Soundbox Care</t>
  </si>
  <si>
    <t xml:space="preserve">Blue cells are inputs. Bear / Base / Bull columns feed the three scenario blocks on the Model sheet. Team estimates unless a source is named (Sources sheet).</t>
  </si>
  <si>
    <t xml:space="preserve">ID</t>
  </si>
  <si>
    <t xml:space="preserve">Assumption</t>
  </si>
  <si>
    <t xml:space="preserve">Unit</t>
  </si>
  <si>
    <t xml:space="preserve">Bear</t>
  </si>
  <si>
    <t xml:space="preserve">Base</t>
  </si>
  <si>
    <t xml:space="preserve">Bull</t>
  </si>
  <si>
    <t xml:space="preserve">Why this number / source</t>
  </si>
  <si>
    <t xml:space="preserve">Common</t>
  </si>
  <si>
    <t xml:space="preserve">K1</t>
  </si>
  <si>
    <t xml:space="preserve">Payment processing margin on incremental GMV</t>
  </si>
  <si>
    <t xml:space="preserve">% of GMV</t>
  </si>
  <si>
    <t xml:space="preserve">Paytm Q1 FY27: payment processing margin 'comfortably above 4 bps' (S1, S10). Held at 4 bps in all scenarios.</t>
  </si>
  <si>
    <t xml:space="preserve">K2</t>
  </si>
  <si>
    <t xml:space="preserve">Paytm-processed GMV per average device merchant per month</t>
  </si>
  <si>
    <t xml:space="preserve">Rs / month</t>
  </si>
  <si>
    <t xml:space="preserve">Team estimate. Ceiling check on Baseline: Q1 FY27 GMV / device merchants / 3 = ~Rs 1.5 lakh a month if all GMV came from device merchants (it does not).</t>
  </si>
  <si>
    <t xml:space="preserve">K3</t>
  </si>
  <si>
    <t xml:space="preserve">Device subscription revenue per merchant per month</t>
  </si>
  <si>
    <t xml:space="preserve">~Rs 90 per device a month in Q4 FY24 (S8); the Q1 FY27 release notes a modest YoY decline per device (S1).</t>
  </si>
  <si>
    <t xml:space="preserve">Restock Agent: scope and payment routing</t>
  </si>
  <si>
    <t xml:space="preserve">R1</t>
  </si>
  <si>
    <t xml:space="preserve">Grocery and FMCG general-trade shops (kiranas, provision and general stores) among device merchants</t>
  </si>
  <si>
    <t xml:space="preserve">% of device merchants</t>
  </si>
  <si>
    <t xml:space="preserve">Team estimate. Paytm does not disclose its merchant category mix.</t>
  </si>
  <si>
    <t xml:space="preserve">R2</t>
  </si>
  <si>
    <t xml:space="preserve">Active users: covered eligible merchants who finish onboarding (supplier invoices captured or supplier linked) and order through the agent every month</t>
  </si>
  <si>
    <t xml:space="preserve">% of covered merchants</t>
  </si>
  <si>
    <t xml:space="preserve">Team estimate. Onboarding is the data gate: no invoices or supplier link, no suggestions.</t>
  </si>
  <si>
    <t xml:space="preserve">R3</t>
  </si>
  <si>
    <t xml:space="preserve">Supplier purchases per active merchant per month</t>
  </si>
  <si>
    <t xml:space="preserve">Team estimate. Kirana gross margins on national brands run ~5-10% (S14), so purchases are ~90% of sales; the base implies ~Rs 2.75 lakh of monthly sales.</t>
  </si>
  <si>
    <t xml:space="preserve">R4</t>
  </si>
  <si>
    <t xml:space="preserve">Share of purchases ordered through the agent</t>
  </si>
  <si>
    <t xml:space="preserve">% of purchases</t>
  </si>
  <si>
    <t xml:space="preserve">Team estimate. FMCG companies' own retailer apps keep their share: HUL's Shikhar handled about a quarter of HUL's general trade by 2023 (S15).</t>
  </si>
  <si>
    <t xml:space="preserve">R5</t>
  </si>
  <si>
    <t xml:space="preserve">Share of agent orders paid through Paytm (UPI, payment link or credit)</t>
  </si>
  <si>
    <t xml:space="preserve">% of agent orders</t>
  </si>
  <si>
    <t xml:space="preserve">Team estimate. The rest stays cash or bank transfer; distributors opposing MDR may push cash (S16).</t>
  </si>
  <si>
    <t xml:space="preserve">R6</t>
  </si>
  <si>
    <t xml:space="preserve">Share of those Paytm payments that are new to Paytm (previously cash, cheque, bank transfer or another app)</t>
  </si>
  <si>
    <t xml:space="preserve">% of Paytm-paid orders</t>
  </si>
  <si>
    <t xml:space="preserve">Team estimate. Only new-to-Paytm payments count as incremental GMV.</t>
  </si>
  <si>
    <t xml:space="preserve">Restock Agent: credit, routed to the rail with the best hit rate (AA-based underwriting on every rail)</t>
  </si>
  <si>
    <t xml:space="preserve">R7</t>
  </si>
  <si>
    <t xml:space="preserve">Share of agent-ordered value where the merchant asks for pay-later</t>
  </si>
  <si>
    <t xml:space="preserve">Team estimate. Distributors already give 7-21 days of free credit, so pay-later has to beat it.</t>
  </si>
  <si>
    <t xml:space="preserve">R8</t>
  </si>
  <si>
    <t xml:space="preserve">Router hit rate: share of pay-later requests approved on at least one rail</t>
  </si>
  <si>
    <t xml:space="preserve">% of requests</t>
  </si>
  <si>
    <t xml:space="preserve">Benchmarks: public-sector banks' digital MSME model approved ~47% of applications in Apr-Oct FY26 (S12); open-network leads approve under 1% (team field estimate); a MUDRA credit line on UPI clears instantly when it has headroom (S18).</t>
  </si>
  <si>
    <t xml:space="preserve">R9</t>
  </si>
  <si>
    <t xml:space="preserve">Rail mix: Paytm partner lenders (pay-later paid straight to the supplier)</t>
  </si>
  <si>
    <t xml:space="preserve">% of pay-later value</t>
  </si>
  <si>
    <t xml:space="preserve">Team estimate of where merchant-first routing lands. Same in all scenarios.</t>
  </si>
  <si>
    <t xml:space="preserve">R10</t>
  </si>
  <si>
    <t xml:space="preserve">Rail mix: MUDRA credit line on UPI</t>
  </si>
  <si>
    <t xml:space="preserve">Credit line on UPI covers PM MUDRA loans, with 8 banks live since Sep 2026 (S18).</t>
  </si>
  <si>
    <t xml:space="preserve">R11</t>
  </si>
  <si>
    <t xml:space="preserve">Rail mix: OCEN lenders</t>
  </si>
  <si>
    <t xml:space="preserve">Team estimate. OCEN handled 5,641 loans in Q1 2025 (Mohalla model sources).</t>
  </si>
  <si>
    <t xml:space="preserve">R12</t>
  </si>
  <si>
    <t xml:space="preserve">Rail mix: ONDC Financial Services lenders</t>
  </si>
  <si>
    <t xml:space="preserve">Formula: the remainder.</t>
  </si>
  <si>
    <t xml:space="preserve">R13</t>
  </si>
  <si>
    <t xml:space="preserve">Paytm take per 30-day pay-later cycle: partner lenders</t>
  </si>
  <si>
    <t xml:space="preserve">% of value per cycle</t>
  </si>
  <si>
    <t xml:space="preserve">Team estimate: a share of the lender's ~1.5-2% monthly yield (18-24% a year). Paytm doesn't publish take rates.</t>
  </si>
  <si>
    <t xml:space="preserve">R14</t>
  </si>
  <si>
    <t xml:space="preserve">Paytm take per cycle: MUDRA credit line on UPI</t>
  </si>
  <si>
    <t xml:space="preserve">Pays Paytm little or nothing directly; any interchange on credit-line UPI payments is unconfirmed.</t>
  </si>
  <si>
    <t xml:space="preserve">R15</t>
  </si>
  <si>
    <t xml:space="preserve">Paytm take per cycle: OCEN (Paytm as loan service provider)</t>
  </si>
  <si>
    <t xml:space="preserve">Team estimate.</t>
  </si>
  <si>
    <t xml:space="preserve">R16</t>
  </si>
  <si>
    <t xml:space="preserve">Paytm take per cycle: ONDC Financial Services (Paytm as buyer app)</t>
  </si>
  <si>
    <t xml:space="preserve">R17</t>
  </si>
  <si>
    <t xml:space="preserve">Working-capital loans: share of active merchants taking a new loan through the router each year</t>
  </si>
  <si>
    <t xml:space="preserve">% per year</t>
  </si>
  <si>
    <t xml:space="preserve">Team estimate, incremental to Paytm's existing lending: purchase history and verified suppliers improve approvals. Paytm merchant loans run 6-24 months with daily instalments (S11).</t>
  </si>
  <si>
    <t xml:space="preserve">R18</t>
  </si>
  <si>
    <t xml:space="preserve">Average working-capital loan</t>
  </si>
  <si>
    <t xml:space="preserve">Rs per loan</t>
  </si>
  <si>
    <t xml:space="preserve">Team estimate. Paytm merchant loans go up to Rs 10 lakh (S11); MUDRA has averaged ~Rs 69,000 per loan over 11 years (S22).</t>
  </si>
  <si>
    <t xml:space="preserve">R19</t>
  </si>
  <si>
    <t xml:space="preserve">Paytm revenue per working-capital loan (distribution and collection)</t>
  </si>
  <si>
    <t xml:space="preserve">% of loan value</t>
  </si>
  <si>
    <t xml:space="preserve">Team estimate. Paytm doesn't publish take rates.</t>
  </si>
  <si>
    <t xml:space="preserve">R20</t>
  </si>
  <si>
    <t xml:space="preserve">Paytm credit-loss sharing on partner-lender pay-later</t>
  </si>
  <si>
    <t xml:space="preserve">Team estimate. RBI caps default-loss guarantees at 5% of a loan portfolio (S26); whether Paytm gives one to merchant-loan partners isn't public.</t>
  </si>
  <si>
    <t xml:space="preserve">R21</t>
  </si>
  <si>
    <t xml:space="preserve">Paytm credit-loss sharing on working-capital loans</t>
  </si>
  <si>
    <t xml:space="preserve">Team estimate, as R20.</t>
  </si>
  <si>
    <t xml:space="preserve">Restock Agent: MDR, paid plan, merchant sales</t>
  </si>
  <si>
    <t xml:space="preserve">R22</t>
  </si>
  <si>
    <t xml:space="preserve">MDR switch: 1 = MDR on UPI merchant payments above Rs 2,000 is live</t>
  </si>
  <si>
    <t xml:space="preserve">1 or 0</t>
  </si>
  <si>
    <t xml:space="preserve">Finance Ministry notified MDR on 14 Sep 2026 (S17); NPCI deferred the 15 Oct start to after Diwali (S16). Bear assumes it doesn't reach distributors.</t>
  </si>
  <si>
    <t xml:space="preserve">R23</t>
  </si>
  <si>
    <t xml:space="preserve">Share of new-to-Paytm supplier payments above Rs 2,000 that go to non-exempt (larger) distributors</t>
  </si>
  <si>
    <t xml:space="preserve">% of value</t>
  </si>
  <si>
    <t xml:space="preserve">Team estimate. Restock invoices are usually above Rs 2,000; an exemption for businesses under Rs 40 lakh turnover was under consideration (S16).</t>
  </si>
  <si>
    <t xml:space="preserve">R24</t>
  </si>
  <si>
    <t xml:space="preserve">Paytm's effective share of MDR, as % of payment value</t>
  </si>
  <si>
    <t xml:space="preserve">MDR is ~0.40%, capped at Rs 300 (S16), split among banks, payment aggregators and apps; the split isn't decided (S17). Paytm earns most where it acquires the distributor.</t>
  </si>
  <si>
    <t xml:space="preserve">R25</t>
  </si>
  <si>
    <t xml:space="preserve">Paid plan attach rate (autopilot ordering, Intent Guard, credit routing)</t>
  </si>
  <si>
    <t xml:space="preserve">% of active merchants</t>
  </si>
  <si>
    <t xml:space="preserve">R26</t>
  </si>
  <si>
    <t xml:space="preserve">Paid plan price</t>
  </si>
  <si>
    <t xml:space="preserve">Anchored to Soundbox rental of Rs 125-150 a month (S7).</t>
  </si>
  <si>
    <t xml:space="preserve">R27</t>
  </si>
  <si>
    <t xml:space="preserve">Paytm-processed sales per active Restock merchant per month, before Restock</t>
  </si>
  <si>
    <t xml:space="preserve">Team estimate, same as the Mohalla model's A8.</t>
  </si>
  <si>
    <t xml:space="preserve">R28</t>
  </si>
  <si>
    <t xml:space="preserve">Sales increase from fewer stock-outs and more stock on credit</t>
  </si>
  <si>
    <t xml:space="preserve">% of sales</t>
  </si>
  <si>
    <t xml:space="preserve">Team estimate. No public figure for kirana stock-out losses; HUL built Shikhar partly to tackle stock-outs (S15). The pilot measures this against holdout shops.</t>
  </si>
  <si>
    <t xml:space="preserve">Restock Agent: costs</t>
  </si>
  <si>
    <t xml:space="preserve">R29</t>
  </si>
  <si>
    <t xml:space="preserve">AI cost per active merchant (invoice reading, voice, agent)</t>
  </si>
  <si>
    <t xml:space="preserve">R30</t>
  </si>
  <si>
    <t xml:space="preserve">Extra AI and Intent Guard checks per paid-plan merchant</t>
  </si>
  <si>
    <t xml:space="preserve">R31</t>
  </si>
  <si>
    <t xml:space="preserve">One-time onboarding per newly active merchant (field visit, invoice digitisation)</t>
  </si>
  <si>
    <t xml:space="preserve">Rs per merchant</t>
  </si>
  <si>
    <t xml:space="preserve">R32</t>
  </si>
  <si>
    <t xml:space="preserve">Support per active merchant</t>
  </si>
  <si>
    <t xml:space="preserve">R33</t>
  </si>
  <si>
    <t xml:space="preserve">Processing cost on new-to-Paytm supplier payments</t>
  </si>
  <si>
    <t xml:space="preserve">Restock Agent: merchant view (a merchant on the paid plan who uses pay-later)</t>
  </si>
  <si>
    <t xml:space="preserve">R34</t>
  </si>
  <si>
    <t xml:space="preserve">Merchant gross margin</t>
  </si>
  <si>
    <t xml:space="preserve">Kirana margins run ~5-10% on national brands and 10-18% on regional brands (S14).</t>
  </si>
  <si>
    <t xml:space="preserve">R35</t>
  </si>
  <si>
    <t xml:space="preserve">Merchant's cost of pay-later</t>
  </si>
  <si>
    <t xml:space="preserve">% per 30-day cycle</t>
  </si>
  <si>
    <t xml:space="preserve">Team estimate: 18-24% a year.</t>
  </si>
  <si>
    <t xml:space="preserve">R36</t>
  </si>
  <si>
    <t xml:space="preserve">Supplier-payment value Intent Guard stops going wrong (payee swaps, duplicates, price errors)</t>
  </si>
  <si>
    <t xml:space="preserve">% of agent-ordered value</t>
  </si>
  <si>
    <t xml:space="preserve">Team estimate. Merchant money protected, not Paytm revenue.</t>
  </si>
  <si>
    <t xml:space="preserve">Soundbox Care</t>
  </si>
  <si>
    <t xml:space="preserve">C1</t>
  </si>
  <si>
    <t xml:space="preserve">Device incidents per 100 covered devices per year (offline, not announcing, battery, damage)</t>
  </si>
  <si>
    <t xml:space="preserve">per 100 devices / year</t>
  </si>
  <si>
    <t xml:space="preserve">Team estimate. Paytm knows the real number from its tickets; held constant so scenarios differ only in how well Care works.</t>
  </si>
  <si>
    <t xml:space="preserve">C2</t>
  </si>
  <si>
    <t xml:space="preserve">Share of incidents that need a field visit today</t>
  </si>
  <si>
    <t xml:space="preserve">% of incidents</t>
  </si>
  <si>
    <t xml:space="preserve">C3</t>
  </si>
  <si>
    <t xml:space="preserve">Share of field visits avoided by remote or guided fixes</t>
  </si>
  <si>
    <t xml:space="preserve">% of visits</t>
  </si>
  <si>
    <t xml:space="preserve">Team estimate: network failover (Wi-Fi/4G), remote reboot, firmware rollback, voice-guided fixes.</t>
  </si>
  <si>
    <t xml:space="preserve">C4</t>
  </si>
  <si>
    <t xml:space="preserve">Cost per field visit</t>
  </si>
  <si>
    <t xml:space="preserve">Rs per visit</t>
  </si>
  <si>
    <t xml:space="preserve">C5</t>
  </si>
  <si>
    <t xml:space="preserve">Share of incidents ending in a replacement device today</t>
  </si>
  <si>
    <t xml:space="preserve">C6</t>
  </si>
  <si>
    <t xml:space="preserve">Share of replacements avoided (fixed remotely or caught early)</t>
  </si>
  <si>
    <t xml:space="preserve">% of replacements</t>
  </si>
  <si>
    <t xml:space="preserve">C7</t>
  </si>
  <si>
    <t xml:space="preserve">Cost of a replacement, including logistics</t>
  </si>
  <si>
    <t xml:space="preserve">Rs per device</t>
  </si>
  <si>
    <t xml:space="preserve">C8</t>
  </si>
  <si>
    <t xml:space="preserve">Days down per incident today</t>
  </si>
  <si>
    <t xml:space="preserve">days</t>
  </si>
  <si>
    <t xml:space="preserve">C9</t>
  </si>
  <si>
    <t xml:space="preserve">Cut in days down per incident</t>
  </si>
  <si>
    <t xml:space="preserve">% of days</t>
  </si>
  <si>
    <t xml:space="preserve">C10</t>
  </si>
  <si>
    <t xml:space="preserve">Share of a down device's Paytm GMV lost while it's down</t>
  </si>
  <si>
    <t xml:space="preserve">% of daily GMV</t>
  </si>
  <si>
    <t xml:space="preserve">UPI QR still works without the Soundbox. Losses come from missing confirmations (merchants fall back on screenshots, which Paytm has warned can be spoofed, S20) and failed card payments on AI Soundboxes (S19).</t>
  </si>
  <si>
    <t xml:space="preserve">C11</t>
  </si>
  <si>
    <t xml:space="preserve">Share of incident devices the merchant returns within a year, today</t>
  </si>
  <si>
    <t xml:space="preserve">% of incident devices</t>
  </si>
  <si>
    <t xml:space="preserve">Team estimate. Paytm does not disclose device churn.</t>
  </si>
  <si>
    <t xml:space="preserve">C12</t>
  </si>
  <si>
    <t xml:space="preserve">Cut in post-incident device returns with Care</t>
  </si>
  <si>
    <t xml:space="preserve">% of churn</t>
  </si>
  <si>
    <t xml:space="preserve">C13</t>
  </si>
  <si>
    <t xml:space="preserve">Telemetry and AI cost per covered device</t>
  </si>
  <si>
    <t xml:space="preserve">C14</t>
  </si>
  <si>
    <t xml:space="preserve">Phone fallback cost per incident (push alert, voice call)</t>
  </si>
  <si>
    <t xml:space="preserve">Rs per incident</t>
  </si>
  <si>
    <t xml:space="preserve">Nearby (Phase 2 switch): consented offers inside the Paytm app, merchant pays per verified new customer</t>
  </si>
  <si>
    <t xml:space="preserve">N0</t>
  </si>
  <si>
    <t xml:space="preserve">Nearby switch: 1 = NPCI's 30% UPI cap is enforced and Nearby runs</t>
  </si>
  <si>
    <t xml:space="preserve">Off in all scenarios. The cap is due 31 Dec 2026 and has been extended twice (S24). Summary shows what Nearby would add if switched on.</t>
  </si>
  <si>
    <t xml:space="preserve">N1</t>
  </si>
  <si>
    <t xml:space="preserve">Device merchants in dense clusters</t>
  </si>
  <si>
    <t xml:space="preserve">Same as the Mohalla model's A1.</t>
  </si>
  <si>
    <t xml:space="preserve">N2</t>
  </si>
  <si>
    <t xml:space="preserve">Participation</t>
  </si>
  <si>
    <t xml:space="preserve">N3</t>
  </si>
  <si>
    <t xml:space="preserve">Verified new customers per merchant per month (Paytm-app payers who wouldn't have come anyway)</t>
  </si>
  <si>
    <t xml:space="preserve">customers / month</t>
  </si>
  <si>
    <t xml:space="preserve">Team estimate. Offers reach only Paytm-app payers (Paytm ~8% of UPI payments, S24); the uplift model filters out customers who would have come anyway.</t>
  </si>
  <si>
    <t xml:space="preserve">N4</t>
  </si>
  <si>
    <t xml:space="preserve">First bill</t>
  </si>
  <si>
    <t xml:space="preserve">Same as the Mohalla model's A4.</t>
  </si>
  <si>
    <t xml:space="preserve">N5</t>
  </si>
  <si>
    <t xml:space="preserve">Share of Nearby GMV that's new to Paytm (not moved from another Paytm shop)</t>
  </si>
  <si>
    <t xml:space="preserve">N6</t>
  </si>
  <si>
    <t xml:space="preserve">Paytm fee per verified new customer</t>
  </si>
  <si>
    <t xml:space="preserve">Rs per customer</t>
  </si>
  <si>
    <t xml:space="preserve">Team estimate. Merchant pays only for customers the model verifies as new.</t>
  </si>
  <si>
    <t xml:space="preserve">N7</t>
  </si>
  <si>
    <t xml:space="preserve">Paytm-funded cashback replaced per verified new customer</t>
  </si>
  <si>
    <t xml:space="preserve">Paytm spent Rs 90 crore on cashback and incentives in Q1 FY27 (S1).</t>
  </si>
  <si>
    <t xml:space="preserve">N8</t>
  </si>
  <si>
    <t xml:space="preserve">Uplift model and offer cost per merchant</t>
  </si>
  <si>
    <t xml:space="preserve">N9</t>
  </si>
  <si>
    <t xml:space="preserve">Payout cost per reward</t>
  </si>
  <si>
    <t xml:space="preserve">Rs per payout</t>
  </si>
  <si>
    <t xml:space="preserve">Same as the Mohalla model's A17.</t>
  </si>
  <si>
    <t xml:space="preserve">Rollout ramps (Paytm controls the pace, so the same in all scenarios)</t>
  </si>
  <si>
    <t xml:space="preserve">Quarter</t>
  </si>
  <si>
    <t xml:space="preserve">Q4 FY27</t>
  </si>
  <si>
    <t xml:space="preserve">Q1 FY28</t>
  </si>
  <si>
    <t xml:space="preserve">Q2 FY28</t>
  </si>
  <si>
    <t xml:space="preserve">Q3 FY28</t>
  </si>
  <si>
    <t xml:space="preserve">Q4 FY28</t>
  </si>
  <si>
    <t xml:space="preserve">Q1 FY29</t>
  </si>
  <si>
    <t xml:space="preserve">Q2 FY29</t>
  </si>
  <si>
    <t xml:space="preserve">Q3 FY29</t>
  </si>
  <si>
    <t xml:space="preserve">RR</t>
  </si>
  <si>
    <t xml:space="preserve">Restock: share of eligible shops in live cities</t>
  </si>
  <si>
    <t xml:space="preserve">% of eligible</t>
  </si>
  <si>
    <t xml:space="preserve">Q4 FY27 Mumbai pilot. Slower than a software rollout because suppliers have to be onboarded city by city.</t>
  </si>
  <si>
    <t xml:space="preserve">CR</t>
  </si>
  <si>
    <t xml:space="preserve">Soundbox Care: share of the device base with Care switched on</t>
  </si>
  <si>
    <t xml:space="preserve">% of devices</t>
  </si>
  <si>
    <t xml:space="preserve">Firmware and backend rollout; older models get a subset (remote diagnostics, phone fallback).</t>
  </si>
  <si>
    <t xml:space="preserve">NR</t>
  </si>
  <si>
    <t xml:space="preserve">Nearby: share of eligible clusters live (only if switched on)</t>
  </si>
  <si>
    <t xml:space="preserve">Starts the quarter after the 31 Dec 2026 cap date.</t>
  </si>
  <si>
    <t xml:space="preserve">Checks</t>
  </si>
  <si>
    <t xml:space="preserve">Rail mix adds up to 100%</t>
  </si>
  <si>
    <t xml:space="preserve">Pay-later approved stays within orders paid through Paytm (R7 x R8 &lt;= R5)</t>
  </si>
  <si>
    <t xml:space="preserve">Structural rules built into the formulas</t>
  </si>
  <si>
    <t xml:space="preserve">Rule 1</t>
  </si>
  <si>
    <t xml:space="preserve">Only supplier payments that are new to Paytm (R6) count as incremental GMV; MDR and processing cost apply to that new value only.</t>
  </si>
  <si>
    <t xml:space="preserve">Rule 2</t>
  </si>
  <si>
    <t xml:space="preserve">Pay-later revolves every 30 days: each month's approved orders are a new cycle that earns Paytm's take for its rail.</t>
  </si>
  <si>
    <t xml:space="preserve">Rule 3</t>
  </si>
  <si>
    <t xml:space="preserve">Working-capital loans are counted at disbursal; Paytm earns a share of loan value (R19) and bears any credit-loss sharing (R21).</t>
  </si>
  <si>
    <t xml:space="preserve">Rule 4</t>
  </si>
  <si>
    <t xml:space="preserve">Soundbox Care savings (field visits and replacements avoided) count toward contribution as avoided variable cost.</t>
  </si>
  <si>
    <t xml:space="preserve">Rule 5</t>
  </si>
  <si>
    <t xml:space="preserve">Devices kept by Care are cumulative and keep the average device merchant's GMV (K2) and subscription (K3).</t>
  </si>
  <si>
    <t xml:space="preserve">Rule 6</t>
  </si>
  <si>
    <t xml:space="preserve">Baseline GMV and device merchants use FORECAST (linear) on 8 reported quarters; GROWTH (exponential) is shown as a cross-check.</t>
  </si>
  <si>
    <t xml:space="preserve">Rule 7</t>
  </si>
  <si>
    <t xml:space="preserve">Contribution = revenue - variable costs + avoided costs. Fixed engineering and platform costs are excluded.</t>
  </si>
  <si>
    <t xml:space="preserve">Rule 8</t>
  </si>
  <si>
    <t xml:space="preserve">Nearby counts in totals only when its switch (N0) is 1; its standalone numbers are always computed for reference.</t>
  </si>
  <si>
    <t xml:space="preserve">Baseline: Paytm merchant GMV and device merchants</t>
  </si>
  <si>
    <t xml:space="preserve">Rows 5-12 are reported actuals (blue). Rows 13-22 are FORECAST (linear) on those 8 quarters. Column G is GROWTH (exponential) as a cross-check. The model uses the linear forecast.</t>
  </si>
  <si>
    <t xml:space="preserve">x (period)</t>
  </si>
  <si>
    <t xml:space="preserve">Months</t>
  </si>
  <si>
    <t xml:space="preserve">Type</t>
  </si>
  <si>
    <t xml:space="preserve">Merchant GMV (Rs lakh crore)</t>
  </si>
  <si>
    <t xml:space="preserve">GMV YoY</t>
  </si>
  <si>
    <t xml:space="preserve">Cross-check: GROWTH (Rs lakh crore)</t>
  </si>
  <si>
    <t xml:space="preserve">Device merchants (crore)</t>
  </si>
  <si>
    <t xml:space="preserve">Source / method</t>
  </si>
  <si>
    <t xml:space="preserve">Q2 FY25</t>
  </si>
  <si>
    <t xml:space="preserve">Jul-Sep 2024</t>
  </si>
  <si>
    <t xml:space="preserve">Actual</t>
  </si>
  <si>
    <t xml:space="preserve">GMV: S5 (Q3 FY25 GMV up 13% QoQ from Rs 4.5 lakh crore). Device merchants: derived, 1.17 crore at Dec-24 minus 5 lakh added that quarter (S5).</t>
  </si>
  <si>
    <t xml:space="preserve">Q3 FY25</t>
  </si>
  <si>
    <t xml:space="preserve">Oct-Dec 2024</t>
  </si>
  <si>
    <t xml:space="preserve">S5</t>
  </si>
  <si>
    <t xml:space="preserve">Q4 FY25</t>
  </si>
  <si>
    <t xml:space="preserve">Jan-Mar 2025</t>
  </si>
  <si>
    <t xml:space="preserve">S4</t>
  </si>
  <si>
    <t xml:space="preserve">Q1 FY26</t>
  </si>
  <si>
    <t xml:space="preserve">Apr-Jun 2025</t>
  </si>
  <si>
    <t xml:space="preserve">S1 (Jun-25 column of the Q1 FY27 release)</t>
  </si>
  <si>
    <t xml:space="preserve">Q2 FY26</t>
  </si>
  <si>
    <t xml:space="preserve">Jul-Sep 2025</t>
  </si>
  <si>
    <t xml:space="preserve">S2</t>
  </si>
  <si>
    <t xml:space="preserve">Q3 FY26</t>
  </si>
  <si>
    <t xml:space="preserve">Oct-Dec 2025</t>
  </si>
  <si>
    <t xml:space="preserve">GMV: S3. Device merchants: S6</t>
  </si>
  <si>
    <t xml:space="preserve">Q4 FY26</t>
  </si>
  <si>
    <t xml:space="preserve">Jan-Mar 2026</t>
  </si>
  <si>
    <t xml:space="preserve">S1 (Mar-26 column)</t>
  </si>
  <si>
    <t xml:space="preserve">Q1 FY27</t>
  </si>
  <si>
    <t xml:space="preserve">Apr-Jun 2026</t>
  </si>
  <si>
    <t xml:space="preserve">S1, S10</t>
  </si>
  <si>
    <t xml:space="preserve">Q2 FY27</t>
  </si>
  <si>
    <t xml:space="preserve">Jul-Sep 2026</t>
  </si>
  <si>
    <t xml:space="preserve">Forecast</t>
  </si>
  <si>
    <t xml:space="preserve">FORECAST (linear) on rows 5-12. Not yet reported; bridges to the projection window.</t>
  </si>
  <si>
    <t xml:space="preserve">Q3 FY27</t>
  </si>
  <si>
    <t xml:space="preserve">Oct-Dec 2026</t>
  </si>
  <si>
    <t xml:space="preserve">FORECAST (linear) on rows 5-12. Not yet reported; bridges to the projection window. Rows 15-22 (shaded) are the 8-quarter projection window.</t>
  </si>
  <si>
    <t xml:space="preserve">Jan-Mar 2027</t>
  </si>
  <si>
    <t xml:space="preserve">FORECAST (linear) on rows 5-12</t>
  </si>
  <si>
    <t xml:space="preserve">Apr-Jun 2027</t>
  </si>
  <si>
    <t xml:space="preserve">Jul-Sep 2027</t>
  </si>
  <si>
    <t xml:space="preserve">Oct-Dec 2027</t>
  </si>
  <si>
    <t xml:space="preserve">Jan-Mar 2028</t>
  </si>
  <si>
    <t xml:space="preserve">Apr-Jun 2028</t>
  </si>
  <si>
    <t xml:space="preserve">Jul-Sep 2028</t>
  </si>
  <si>
    <t xml:space="preserve">Oct-Dec 2028</t>
  </si>
  <si>
    <t xml:space="preserve">Reported reference points (Q1 FY27, quarter ended 30 June 2026) and checks</t>
  </si>
  <si>
    <t xml:space="preserve">Revenue from operations</t>
  </si>
  <si>
    <t xml:space="preserve">Rs crore</t>
  </si>
  <si>
    <t xml:space="preserve">S10 (up 28% YoY)</t>
  </si>
  <si>
    <t xml:space="preserve">Contribution profit</t>
  </si>
  <si>
    <t xml:space="preserve">S10 (up 17% YoY)</t>
  </si>
  <si>
    <t xml:space="preserve">Contribution margin</t>
  </si>
  <si>
    <t xml:space="preserve">% of revenue</t>
  </si>
  <si>
    <t xml:space="preserve">S10</t>
  </si>
  <si>
    <t xml:space="preserve">EBITDA</t>
  </si>
  <si>
    <t xml:space="preserve">S10 (8% margin, highest ever)</t>
  </si>
  <si>
    <t xml:space="preserve">Profit after tax</t>
  </si>
  <si>
    <t xml:space="preserve">S10 (up 79% YoY)</t>
  </si>
  <si>
    <t xml:space="preserve">Financial services revenue (merchant loans, personal loans, insurance distribution)</t>
  </si>
  <si>
    <t xml:space="preserve">S10 (up 45% YoY)</t>
  </si>
  <si>
    <t xml:space="preserve">Net payment revenue, excluding PIDF</t>
  </si>
  <si>
    <t xml:space="preserve">Net payment revenue per Rs of GMV</t>
  </si>
  <si>
    <t xml:space="preserve">bps</t>
  </si>
  <si>
    <t xml:space="preserve">Formula. Paytm reports 8.4 bps (S1).</t>
  </si>
  <si>
    <t xml:space="preserve">Payment processing margin (reported as 'comfortably above 4 bps')</t>
  </si>
  <si>
    <t xml:space="preserve">Net payment revenue from a 1% GMV lift, at the blended rate</t>
  </si>
  <si>
    <t xml:space="preserve">Rs crore per quarter</t>
  </si>
  <si>
    <t xml:space="preserve">Formula. Blended rate; payments under Rs 2,000 carry no MDR, so kirana UPI earns far less.</t>
  </si>
  <si>
    <t xml:space="preserve">Marketing Services revenue</t>
  </si>
  <si>
    <t xml:space="preserve">S1 (down 3% YoY)</t>
  </si>
  <si>
    <t xml:space="preserve">Promotional cashback and incentives</t>
  </si>
  <si>
    <t xml:space="preserve">S1 (up 143% YoY)</t>
  </si>
  <si>
    <t xml:space="preserve">Registered merchants</t>
  </si>
  <si>
    <t xml:space="preserve">crore</t>
  </si>
  <si>
    <t xml:space="preserve">S1</t>
  </si>
  <si>
    <t xml:space="preserve">Ceiling: GMV per device merchant per month if all GMV came from device merchants</t>
  </si>
  <si>
    <t xml:space="preserve">Formula. Upper bound used to sanity-check K2 and R27.</t>
  </si>
  <si>
    <t xml:space="preserve">Q3 FY29 baseline: GROWTH cross-check vs FORECAST</t>
  </si>
  <si>
    <t xml:space="preserve">% above linear</t>
  </si>
  <si>
    <t xml:space="preserve">Formula. How conservative the linear baseline is.</t>
  </si>
  <si>
    <t xml:space="preserve">Mohalla Network (assessed and dropped): base-case contribution over the same 8 quarters</t>
  </si>
  <si>
    <t xml:space="preserve">Mohalla_GMV_Projection.xlsx, Summary sheet, base case. Kept for comparison.</t>
  </si>
  <si>
    <t xml:space="preserve">Model: Restock Agent (with Intent Guard) + Soundbox Care, quarter by quarter</t>
  </si>
  <si>
    <t xml:space="preserve">Every cell is a formula. Assumption references: Bear = Assumptions column D, Base = E, Bull = F. Column L sums flows over the 8 quarters; stock rows show Q3 FY29; ratio rows divide the 8-quarter totals.</t>
  </si>
  <si>
    <t xml:space="preserve">#</t>
  </si>
  <si>
    <t xml:space="preserve">8-qtr total</t>
  </si>
  <si>
    <t xml:space="preserve">Baseline period index (x)</t>
  </si>
  <si>
    <t xml:space="preserve">BEAR scenario (Assumptions column D)</t>
  </si>
  <si>
    <t xml:space="preserve">Restock Agent: shops, orders and payments</t>
  </si>
  <si>
    <t xml:space="preserve">Device merchants, baseline</t>
  </si>
  <si>
    <t xml:space="preserve">lakh</t>
  </si>
  <si>
    <t xml:space="preserve">Grocery and FMCG shops among device merchants</t>
  </si>
  <si>
    <t xml:space="preserve">Restock rollout coverage</t>
  </si>
  <si>
    <t xml:space="preserve">Active Restock merchants</t>
  </si>
  <si>
    <t xml:space="preserve">Newly active merchants</t>
  </si>
  <si>
    <t xml:space="preserve">Supplier purchases by active merchants</t>
  </si>
  <si>
    <t xml:space="preserve">Ordered through the agent</t>
  </si>
  <si>
    <t xml:space="preserve">Paid through Paytm</t>
  </si>
  <si>
    <t xml:space="preserve">GMV: supplier payments new to Paytm</t>
  </si>
  <si>
    <t xml:space="preserve">GMV: extra merchant sales on Paytm (fewer stock-outs)</t>
  </si>
  <si>
    <t xml:space="preserve">Credit router (pay-later per order, plus working-capital loans)</t>
  </si>
  <si>
    <t xml:space="preserve">Pay-later approved (30-day cycles)</t>
  </si>
  <si>
    <t xml:space="preserve">  via Paytm partner lenders</t>
  </si>
  <si>
    <t xml:space="preserve">  via MUDRA credit line on UPI</t>
  </si>
  <si>
    <t xml:space="preserve">  via OCEN</t>
  </si>
  <si>
    <t xml:space="preserve">  via ONDC Financial Services</t>
  </si>
  <si>
    <t xml:space="preserve">Working-capital loans disbursed</t>
  </si>
  <si>
    <t xml:space="preserve">lakh loans</t>
  </si>
  <si>
    <t xml:space="preserve">Working-capital loan value</t>
  </si>
  <si>
    <t xml:space="preserve">Credit routed (pay-later + working capital)</t>
  </si>
  <si>
    <t xml:space="preserve">Restock Agent: Paytm revenue, costs and contribution</t>
  </si>
  <si>
    <t xml:space="preserve">Revenue: pay-later take</t>
  </si>
  <si>
    <t xml:space="preserve">Revenue: working-capital loans</t>
  </si>
  <si>
    <t xml:space="preserve">Revenue: MDR on supplier payments (switch R22)</t>
  </si>
  <si>
    <t xml:space="preserve">Revenue: paid plan</t>
  </si>
  <si>
    <t xml:space="preserve">Revenue: payment margin on extra sales</t>
  </si>
  <si>
    <t xml:space="preserve">Restock revenue</t>
  </si>
  <si>
    <t xml:space="preserve">Cost: AI and Intent Guard checks</t>
  </si>
  <si>
    <t xml:space="preserve">Cost: onboarding newly active merchants</t>
  </si>
  <si>
    <t xml:space="preserve">Cost: support</t>
  </si>
  <si>
    <t xml:space="preserve">Cost: payment processing</t>
  </si>
  <si>
    <t xml:space="preserve">Cost: credit-loss sharing</t>
  </si>
  <si>
    <t xml:space="preserve">Restock variable cost</t>
  </si>
  <si>
    <t xml:space="preserve">Restock contribution</t>
  </si>
  <si>
    <t xml:space="preserve">Merchant money protected by Intent Guard</t>
  </si>
  <si>
    <t xml:space="preserve">Care coverage of the device base</t>
  </si>
  <si>
    <t xml:space="preserve">Devices covered</t>
  </si>
  <si>
    <t xml:space="preserve">Incidents on covered devices</t>
  </si>
  <si>
    <t xml:space="preserve">Field visits avoided</t>
  </si>
  <si>
    <t xml:space="preserve">Replacements avoided</t>
  </si>
  <si>
    <t xml:space="preserve">Device-days of downtime avoided</t>
  </si>
  <si>
    <t xml:space="preserve">lakh days</t>
  </si>
  <si>
    <t xml:space="preserve">GMV: kept during downtime</t>
  </si>
  <si>
    <t xml:space="preserve">Devices kept by Care (cumulative)</t>
  </si>
  <si>
    <t xml:space="preserve">GMV: kept by lower device churn</t>
  </si>
  <si>
    <t xml:space="preserve">Revenue: device subscriptions kept</t>
  </si>
  <si>
    <t xml:space="preserve">Revenue: payment margin on GMV kept</t>
  </si>
  <si>
    <t xml:space="preserve">Care revenue</t>
  </si>
  <si>
    <t xml:space="preserve">Saving: field visits avoided</t>
  </si>
  <si>
    <t xml:space="preserve">Saving: replacements avoided</t>
  </si>
  <si>
    <t xml:space="preserve">Care savings (avoided costs)</t>
  </si>
  <si>
    <t xml:space="preserve">Care variable cost (telemetry, phone fallback)</t>
  </si>
  <si>
    <t xml:space="preserve">Care contribution</t>
  </si>
  <si>
    <t xml:space="preserve">Nearby (Phase 2): computed for reference, counted only if switch N0 = 1</t>
  </si>
  <si>
    <t xml:space="preserve">Nearby coverage</t>
  </si>
  <si>
    <t xml:space="preserve">Nearby merchants</t>
  </si>
  <si>
    <t xml:space="preserve">Verified new customers</t>
  </si>
  <si>
    <t xml:space="preserve">GMV new to Paytm</t>
  </si>
  <si>
    <t xml:space="preserve">Revenue: fees and payment margin</t>
  </si>
  <si>
    <t xml:space="preserve">Saving: Paytm-funded cashback replaced</t>
  </si>
  <si>
    <t xml:space="preserve">Variable cost</t>
  </si>
  <si>
    <t xml:space="preserve">Nearby contribution if switched on</t>
  </si>
  <si>
    <t xml:space="preserve">Bundle totals</t>
  </si>
  <si>
    <t xml:space="preserve">Incremental GMV</t>
  </si>
  <si>
    <t xml:space="preserve">Rs lakh crore</t>
  </si>
  <si>
    <t xml:space="preserve">Baseline Paytm merchant GMV (FORECAST)</t>
  </si>
  <si>
    <t xml:space="preserve">Uplift vs baseline GMV</t>
  </si>
  <si>
    <t xml:space="preserve">%</t>
  </si>
  <si>
    <t xml:space="preserve">Revenue</t>
  </si>
  <si>
    <t xml:space="preserve">Avoided costs</t>
  </si>
  <si>
    <t xml:space="preserve">Contribution to Paytm</t>
  </si>
  <si>
    <t xml:space="preserve">Contribution margin on revenue (before avoided costs)</t>
  </si>
  <si>
    <t xml:space="preserve">Contribution as % of revenue plus avoided costs</t>
  </si>
  <si>
    <t xml:space="preserve">Restock margin on Restock revenue</t>
  </si>
  <si>
    <t xml:space="preserve">Care: avoided costs plus revenue per Rs 1 of Care cost</t>
  </si>
  <si>
    <t xml:space="preserve">x</t>
  </si>
  <si>
    <t xml:space="preserve">Share of incremental GMV from supplier payments</t>
  </si>
  <si>
    <t xml:space="preserve">Contribution per device merchant per month</t>
  </si>
  <si>
    <t xml:space="preserve">Quarterly contribution vs Q1 FY27 EBITDA</t>
  </si>
  <si>
    <t xml:space="preserve">Quarterly contribution vs Q1 FY27 contribution profit</t>
  </si>
  <si>
    <t xml:space="preserve">Restock credit revenue vs Q1 FY27 financial services revenue</t>
  </si>
  <si>
    <t xml:space="preserve">North Star and unit economics</t>
  </si>
  <si>
    <t xml:space="preserve">Paytm sales per active Restock merchant per month, before</t>
  </si>
  <si>
    <t xml:space="preserve">New Paytm GMV per active Restock merchant per month (supplier payments + extra sales)</t>
  </si>
  <si>
    <t xml:space="preserve">North Star uplift per active Restock merchant</t>
  </si>
  <si>
    <t xml:space="preserve">Restock contribution per active merchant per month, before onboarding</t>
  </si>
  <si>
    <t xml:space="preserve">Months to recover onboarding cost</t>
  </si>
  <si>
    <t xml:space="preserve">months</t>
  </si>
  <si>
    <t xml:space="preserve">Care contribution per covered device per year</t>
  </si>
  <si>
    <t xml:space="preserve">Rs / year</t>
  </si>
  <si>
    <t xml:space="preserve">Merchant view: a merchant on the paid plan who uses pay-later (Rs per month)</t>
  </si>
  <si>
    <t xml:space="preserve">Merchant sales</t>
  </si>
  <si>
    <t xml:space="preserve">Extra gross margin from the sales increase</t>
  </si>
  <si>
    <t xml:space="preserve">Interest on pay-later used</t>
  </si>
  <si>
    <t xml:space="preserve">Paid plan fee</t>
  </si>
  <si>
    <t xml:space="preserve">Net gain per month</t>
  </si>
  <si>
    <t xml:space="preserve">Plus: supplier money protected by Intent Guard</t>
  </si>
  <si>
    <t xml:space="preserve">BASE scenario (Assumptions column E)</t>
  </si>
  <si>
    <t xml:space="preserve">BULL scenario (Assumptions column F)</t>
  </si>
  <si>
    <t xml:space="preserve">Summary: numbers for the projection slide</t>
  </si>
  <si>
    <t xml:space="preserve">All cells link to the Model and Baseline sheets.</t>
  </si>
  <si>
    <t xml:space="preserve">A. Base case, quarter by quarter</t>
  </si>
  <si>
    <t xml:space="preserve">Metric</t>
  </si>
  <si>
    <t xml:space="preserve">Incremental GMV from the bundle</t>
  </si>
  <si>
    <t xml:space="preserve">  of which supplier payments new to Paytm (Restock)</t>
  </si>
  <si>
    <t xml:space="preserve">  of which extra merchant sales (Restock)</t>
  </si>
  <si>
    <t xml:space="preserve">  of which kept during downtime (Care)</t>
  </si>
  <si>
    <t xml:space="preserve">  of which kept by lower device churn (Care)</t>
  </si>
  <si>
    <t xml:space="preserve">Devices covered by Soundbox Care</t>
  </si>
  <si>
    <t xml:space="preserve">  of which credit (pay-later take + working-capital loans)</t>
  </si>
  <si>
    <t xml:space="preserve">  of which MDR on supplier payments</t>
  </si>
  <si>
    <t xml:space="preserve">  of which paid plan</t>
  </si>
  <si>
    <t xml:space="preserve">  of which device subscriptions kept (Care)</t>
  </si>
  <si>
    <t xml:space="preserve">Avoided costs (Care: field visits, replacements)</t>
  </si>
  <si>
    <t xml:space="preserve">  of which Restock Agent</t>
  </si>
  <si>
    <t xml:space="preserve">  of which Soundbox Care</t>
  </si>
  <si>
    <t xml:space="preserve">Quarterly contribution vs Q1 FY27 EBITDA (Rs 203 crore)</t>
  </si>
  <si>
    <t xml:space="preserve">B. Scenarios side by side</t>
  </si>
  <si>
    <t xml:space="preserve">Incremental GMV, 8 quarters</t>
  </si>
  <si>
    <t xml:space="preserve">Incremental GMV in Q3 FY29</t>
  </si>
  <si>
    <t xml:space="preserve">Uplift vs baseline GMV at Q3 FY29</t>
  </si>
  <si>
    <t xml:space="preserve">Contribution to Paytm, 8 quarters</t>
  </si>
  <si>
    <t xml:space="preserve">Contribution in Q3 FY29</t>
  </si>
  <si>
    <t xml:space="preserve">Q3 FY29 contribution vs Q1 FY27 EBITDA</t>
  </si>
  <si>
    <t xml:space="preserve">Contribution as % of revenue plus avoided costs, 8 quarters</t>
  </si>
  <si>
    <t xml:space="preserve">Restock margin on Restock revenue, 8 quarters</t>
  </si>
  <si>
    <t xml:space="preserve">Care: avoided costs plus revenue per Rs 1 of Care cost, 8 quarters</t>
  </si>
  <si>
    <t xml:space="preserve">Share of incremental GMV from supplier payments, 8 quarters</t>
  </si>
  <si>
    <t xml:space="preserve">Revenue, 8 quarters</t>
  </si>
  <si>
    <t xml:space="preserve">MDR on supplier payments, 8 quarters</t>
  </si>
  <si>
    <t xml:space="preserve">Active Restock merchants at Q3 FY29</t>
  </si>
  <si>
    <t xml:space="preserve">Credit routed, 8 quarters</t>
  </si>
  <si>
    <t xml:space="preserve">New Paytm GMV per active Restock merchant per month</t>
  </si>
  <si>
    <t xml:space="preserve">Restock contribution per active merchant per month</t>
  </si>
  <si>
    <t xml:space="preserve">Merchant net gain per month (paid plan + pay-later)</t>
  </si>
  <si>
    <t xml:space="preserve">Merchant money protected by Intent Guard, 8 quarters</t>
  </si>
  <si>
    <t xml:space="preserve">Nearby contribution if switched on, 8 quarters</t>
  </si>
  <si>
    <t xml:space="preserve">Nearby GMV new to Paytm if switched on, 8 quarters</t>
  </si>
  <si>
    <t xml:space="preserve">C. Context</t>
  </si>
  <si>
    <t xml:space="preserve">Baseline GMV, Q1 FY27 actual</t>
  </si>
  <si>
    <t xml:space="preserve">Baseline GMV, Q3 FY29 FORECAST (linear)</t>
  </si>
  <si>
    <t xml:space="preserve">Baseline GMV, Q3 FY29 GROWTH cross-check</t>
  </si>
  <si>
    <t xml:space="preserve">Device merchants, Q3 FY29 FORECAST</t>
  </si>
  <si>
    <t xml:space="preserve">Q1 FY27 contribution profit</t>
  </si>
  <si>
    <t xml:space="preserve">Q1 FY27 EBITDA</t>
  </si>
  <si>
    <t xml:space="preserve">Q1 FY27 financial services revenue</t>
  </si>
  <si>
    <t xml:space="preserve">Mohalla Network (dropped): base contribution over the same 8 quarters</t>
  </si>
  <si>
    <t xml:space="preserve">This bundle's base contribution as a multiple of Mohalla's</t>
  </si>
  <si>
    <t xml:space="preserve">Restock credit revenue at Q3 FY29 vs Q1 FY27 financial services revenue</t>
  </si>
  <si>
    <t xml:space="preserve">Net payment revenue from a 1% GMV lift, blended rate (Q1 FY27 base)</t>
  </si>
  <si>
    <t xml:space="preserve">Rs crore / quarter</t>
  </si>
  <si>
    <t xml:space="preserve">D. Checks</t>
  </si>
  <si>
    <t xml:space="preserve">Rail mix adds up to 100% (Bear, Base, Bull)</t>
  </si>
  <si>
    <t xml:space="preserve">Pay-later stays within orders paid through Paytm (Bear, Base, Bull)</t>
  </si>
  <si>
    <t xml:space="preserve">Sources</t>
  </si>
  <si>
    <t xml:space="preserve">What it supports</t>
  </si>
  <si>
    <t xml:space="preserve">Link</t>
  </si>
  <si>
    <t xml:space="preserve">Paytm Q1 FY27 earnings release (agent datapack): GMV Jun-25 / Mar-26 / Jun-26, subscription merchants, net payment revenue 8.4 bps, processing margin &gt;4 bps, Marketing Services Rs 239 crore, cashback Rs 90 crore, registered merchants</t>
  </si>
  <si>
    <t xml:space="preserve">https://paytm.com/document/ir/financial-results/fy2026-27/Paytm_Q1_FY27_Agent_Datapack.md</t>
  </si>
  <si>
    <t xml:space="preserve">Q2 FY26 (Sep-25): GMV Rs 5.67 lakh crore, subscriptions 1.37 crore</t>
  </si>
  <si>
    <t xml:space="preserve">https://ianslive.in/paytms-profitability-improves-to-rs-211-crore-in-q2-revenue-up-24-pc--20251104222037</t>
  </si>
  <si>
    <t xml:space="preserve">S3</t>
  </si>
  <si>
    <t xml:space="preserve">Q3 FY26 (Dec-25): GMV Rs 6.2 lakh crore</t>
  </si>
  <si>
    <t xml:space="preserve">https://www.businesstoday.in/amp/latest/corporate/story/paytms-q3-net-profit-jumps-to-rs225-crore-on-upi-surge-and-merchant-services-boost-513573-2026-01-29</t>
  </si>
  <si>
    <t xml:space="preserve">Q4 FY25 (Mar-25): GMV Rs 5.1 lakh crore, subscriptions 1.24 crore</t>
  </si>
  <si>
    <t xml:space="preserve">https://www.business-standard.com/companies/quarterly-results/one-97-communication-paytm-q4-fy25-result-loss-profit-revenue-stock-option-125050601030_1.html</t>
  </si>
  <si>
    <t xml:space="preserve">Q3 FY25 (Dec-24): GMV Rs 5.0 lakh crore, up 13% QoQ from Rs 4.5 lakh crore; subscriptions 1.17 crore after 5 lakh QoQ additions</t>
  </si>
  <si>
    <t xml:space="preserve">https://inc42.com/?p=495669</t>
  </si>
  <si>
    <t xml:space="preserve">S6</t>
  </si>
  <si>
    <t xml:space="preserve">Q3 FY26 (Dec-25): subscription merchants 1.44 crore</t>
  </si>
  <si>
    <t xml:space="preserve">https://alphastreet.com/india/symbol/PAYTM</t>
  </si>
  <si>
    <t xml:space="preserve">S7</t>
  </si>
  <si>
    <t xml:space="preserve">Soundbox rental Rs 125-150 a month (BofA merchant checks in Mumbai)</t>
  </si>
  <si>
    <t xml:space="preserve">https://www.outlookbusiness.com/amp/story/enterprise/bofa-research-paytm-soundbox-first-to-bring-audio-based-payments-confirmations-dominates-the-market-6795</t>
  </si>
  <si>
    <t xml:space="preserve">S8</t>
  </si>
  <si>
    <t xml:space="preserve">Paytm subscription revenue ~Rs 90 per device a month (Q4 FY24)</t>
  </si>
  <si>
    <t xml:space="preserve">https://www.medianama.com/2024/10/223-paytm-to-monetize-soundbox-ads-in-partnership-with-meesho-a-shift-away-from-core-payments-business/</t>
  </si>
  <si>
    <t xml:space="preserve">S9</t>
  </si>
  <si>
    <t xml:space="preserve">Merchants often keep separate soundboxes for PhonePe, Paytm and Google Pay</t>
  </si>
  <si>
    <t xml:space="preserve">https://inc42.com/buzz/upi-transactions-jump-3-8-mom-in-may-cross-23-bn-mark/</t>
  </si>
  <si>
    <t xml:space="preserve">Paytm Q1 FY27 results: revenue Rs 2,448 crore, contribution profit Rs 1,350 crore at 55%, EBITDA Rs 203 crore, PAT Rs 220 crore, financial services Rs 814 crore (+45%), 1.57 crore device merchants, online payment aggregator licence and online merchant momentum</t>
  </si>
  <si>
    <t xml:space="preserve">https://paytm.com/blog/investor-relations/paytm-q1-fy27-results-revenue-grows-28-to-2448-crore-highest-ever-quarterly-ebitda-at-203-crore/</t>
  </si>
  <si>
    <t xml:space="preserve">S11</t>
  </si>
  <si>
    <t xml:space="preserve">Paytm merchant loans: up to Rs 10 lakh, 6-24 months, daily instalments; over 50% of merchant-loan value to repeat borrowers (Paytm-Piramal release, Aug 2022)</t>
  </si>
  <si>
    <t xml:space="preserve">https://bseindia.com/xml-data/corpfiling/AttachHis/01144943-65d3-465d-a4cc-f0556ff55ec5.pdf</t>
  </si>
  <si>
    <t xml:space="preserve">S12</t>
  </si>
  <si>
    <t xml:space="preserve">Public-sector banks' digital MSME model (GST, ITR, AA statements): 5.6 lakh applications, 2.6 lakh passed, ~20% rejected, Apr-Oct FY26</t>
  </si>
  <si>
    <t xml:space="preserve">https://www.business-standard.com/industry/banking/public-sector-banks-okay-28k-cr-in-msme-loans-via-new-digital-model-125122100503_1.html</t>
  </si>
  <si>
    <t xml:space="preserve">S13</t>
  </si>
  <si>
    <t xml:space="preserve">TransUnion CIBIL-SIDBI MSME Pulse, Jul 2026: commercial credit Rs 65.8 lakh crore; Rs 2-10 lakh band slowest, 5.6% 90+ DPD; proprietors' business credit 22% CAGR</t>
  </si>
  <si>
    <t xml:space="preserve">https://www.transunioncibil.com/content/dam/transunion-cibil/corporate/documents/msme-pulse-report-july-2026.pdf</t>
  </si>
  <si>
    <t xml:space="preserve">S14</t>
  </si>
  <si>
    <t xml:space="preserve">Kirana retailer margins: ~5-10% on national brands, 10-18% on regional brands (Kirana Club)</t>
  </si>
  <si>
    <t xml:space="preserve">https://kirana.club/resources/fmcg-distributor-kirana-margins</t>
  </si>
  <si>
    <t xml:space="preserve">S15</t>
  </si>
  <si>
    <t xml:space="preserve">HUL Shikhar: over a million stores, about a quarter of HUL's general trade (2023); built partly to tackle stock-outs</t>
  </si>
  <si>
    <t xml:space="preserve">https://consumergoods.com/unilever-tackles-indias-stock-outs-and-supply-chain-roadblocks-new-retail-partner-digital-platform</t>
  </si>
  <si>
    <t xml:space="preserve">S16</t>
  </si>
  <si>
    <t xml:space="preserve">UPI MDR: 0.40% above Rs 2,000, capped at Rs 300; start deferred to after Diwali; Rs 40 lakh turnover exemption under consideration; distributors' Rs 7,000-9,000 crore cost estimate (Inc42, 13 Oct 2026)</t>
  </si>
  <si>
    <t xml:space="preserve">https://inc42.com/?p=575789</t>
  </si>
  <si>
    <t xml:space="preserve">S17</t>
  </si>
  <si>
    <t xml:space="preserve">MDR notified by the Finance Ministry on 14 Sep 2026; split among banks, payment aggregators and apps still to be decided (Business Today, 15 Sep 2026)</t>
  </si>
  <si>
    <t xml:space="preserve">https://www.businesstoday.in/latest/economy/story/mdr-on-upi-what-it-means-for-customers-555587-2026-09-15</t>
  </si>
  <si>
    <t xml:space="preserve">S18</t>
  </si>
  <si>
    <t xml:space="preserve">Global Fintech Fest 2026: credit line on UPI extended to KCC and PM MUDRA (8 banks for MUDRA); NPCI AiNxt and AtOM</t>
  </si>
  <si>
    <t xml:space="preserve">https://inc42.com/buzz/gff-2026-npci-launches-instant-card-issuing-atms-deepens-ai-push/</t>
  </si>
  <si>
    <t xml:space="preserve">S19</t>
  </si>
  <si>
    <t xml:space="preserve">Paytm AI Soundbox (Oct 2025): Android, front touchscreen and top display, voice commands, AI assistant in 11 languages, card tap and chip, Wi-Fi and 4G</t>
  </si>
  <si>
    <t xml:space="preserve">https://www.fonearena.com/blog/466319/paytm-ai-soundbox-features.html</t>
  </si>
  <si>
    <t xml:space="preserve">S20</t>
  </si>
  <si>
    <t xml:space="preserve">Paytm on spoof payment apps and verifying payments with the Soundbox and Business app (Jan 2022)</t>
  </si>
  <si>
    <t xml:space="preserve">https://www.crowdfundinsider.com/2022/01/185176-indian-payments-fintech-paytm-explains-how-merchants-may-verify-payment-receipts-with-their-soundbox-and-business-app/</t>
  </si>
  <si>
    <t xml:space="preserve">S21</t>
  </si>
  <si>
    <t xml:space="preserve">Revised priority sector lending directions (effective 1 Apr 2025): micro enterprises 7.5% of ANBC</t>
  </si>
  <si>
    <t xml:space="preserve">https://www.outlookmoney.com/banking/rbi-overhauls-priority-sector-lending-how-it-effects-lenders-and-borrowers</t>
  </si>
  <si>
    <t xml:space="preserve">S22</t>
  </si>
  <si>
    <t xml:space="preserve">PM MUDRA Yojana at 11 years: 57.79 crore loans, Rs 40.07 lakh crore sanctioned</t>
  </si>
  <si>
    <t xml:space="preserve">https://ddnews.gov.in/en/pradhan-mantri-mudra-yojana-marks-11-years-%e2%82%b940-07-lakh-crore-loans-sanctioned/</t>
  </si>
  <si>
    <t xml:space="preserve">S23</t>
  </si>
  <si>
    <t xml:space="preserve">Paytm Payments Services: online PA authorisation (26 Nov 2025), offline and cross-border (17 Dec 2025)</t>
  </si>
  <si>
    <t xml:space="preserve">https://www.outlookmoney.com/amp/story/banking/rbi-clears-paytm-arm-ppsl-as-payment-aggregator-for-offline-crossborder-transactions</t>
  </si>
  <si>
    <t xml:space="preserve">S24</t>
  </si>
  <si>
    <t xml:space="preserve">UPI market shares, May 2026 (PhonePe + Google Pay 79%, top three 87%) and NPCI's 30% cap</t>
  </si>
  <si>
    <t xml:space="preserve">https://www.outlookbusiness.com/economy-and-policy/phonepe-google-pay-combined-upi-market-share-drops-below-80-for-first-time</t>
  </si>
  <si>
    <t xml:space="preserve">S25</t>
  </si>
  <si>
    <t xml:space="preserve">DPDP Rules 2025: notice and consent duties from 13 May 2027; consent managers from 13 Nov 2026</t>
  </si>
  <si>
    <t xml:space="preserve">https://www.barandbench.com/view-point/meity-notifies-final-digital-personal-data-protection-rules-2025</t>
  </si>
  <si>
    <t xml:space="preserve">S26</t>
  </si>
  <si>
    <t xml:space="preserve">RBI default loss guarantee guidelines (Jun 2023, now in the Digital Lending Directions 2025): cap of 5% of the loan portfolio</t>
  </si>
  <si>
    <t xml:space="preserve">https://www.rbi.org.in/scripts/NotificationUser.aspx?Id=12514</t>
  </si>
  <si>
    <t xml:space="preserve">S27</t>
  </si>
  <si>
    <t xml:space="preserve">RBI Annual Report 2025-26 (summary): MSME credit Rs 36.8 lakh crore, +23%, accounts flat; PSL Rs 75.7 lakh crore</t>
  </si>
  <si>
    <t xml:space="preserve">https://vatayanlabs.com/dashboards/rbi-annual-report-2025-26/</t>
  </si>
  <si>
    <t xml:space="preserve">S28</t>
  </si>
  <si>
    <t xml:space="preserve">NPCI agentic payments on UPI (reported Unified Agent Protocol), Sep 2026</t>
  </si>
  <si>
    <t xml:space="preserve">https://inc42.com/buzz/npci-to-launch-agentic-payments-on-upi-report/</t>
  </si>
</sst>
</file>

<file path=xl/styles.xml><?xml version="1.0" encoding="utf-8"?>
<styleSheet xmlns="http://schemas.openxmlformats.org/spreadsheetml/2006/main">
  <numFmts count="11">
    <numFmt numFmtId="164" formatCode="General"/>
    <numFmt numFmtId="165" formatCode="0.000%;\-0.000%;\-"/>
    <numFmt numFmtId="166" formatCode="#,##0;\(#,##0\);\-"/>
    <numFmt numFmtId="167" formatCode="0.0%;\-0.0%;\-"/>
    <numFmt numFmtId="168" formatCode="0.00%;\-0.00%;\-"/>
    <numFmt numFmtId="169" formatCode="0"/>
    <numFmt numFmtId="170" formatCode="#,##0.0;\(#,##0.0\);\-"/>
    <numFmt numFmtId="171" formatCode="#,##0.00;\(#,##0.00\);\-"/>
    <numFmt numFmtId="172" formatCode="0.0"/>
    <numFmt numFmtId="173" formatCode="General"/>
    <numFmt numFmtId="174" formatCode="#,##0.000;\(#,##0.000\);\-"/>
  </numFmts>
  <fonts count="19">
    <font>
      <sz val="11"/>
      <color theme="1"/>
      <name val="Calibri"/>
      <family val="2"/>
      <charset val="1"/>
    </font>
    <font>
      <sz val="10"/>
      <name val="Arial"/>
      <family val="0"/>
    </font>
    <font>
      <sz val="10"/>
      <name val="Arial"/>
      <family val="0"/>
    </font>
    <font>
      <sz val="10"/>
      <name val="Arial"/>
      <family val="0"/>
    </font>
    <font>
      <b val="true"/>
      <sz val="14"/>
      <color rgb="FF002E6E"/>
      <name val="Arial"/>
      <family val="0"/>
      <charset val="1"/>
    </font>
    <font>
      <sz val="10"/>
      <color rgb="FF595959"/>
      <name val="Arial"/>
      <family val="0"/>
      <charset val="1"/>
    </font>
    <font>
      <sz val="10"/>
      <color rgb="FF000000"/>
      <name val="Arial"/>
      <family val="0"/>
      <charset val="1"/>
    </font>
    <font>
      <b val="true"/>
      <sz val="11"/>
      <color rgb="FF002E6E"/>
      <name val="Arial"/>
      <family val="0"/>
      <charset val="1"/>
    </font>
    <font>
      <b val="true"/>
      <sz val="13"/>
      <color rgb="FF002E6E"/>
      <name val="Arial"/>
      <family val="0"/>
      <charset val="1"/>
    </font>
    <font>
      <i val="true"/>
      <sz val="10"/>
      <color rgb="FF595959"/>
      <name val="Arial"/>
      <family val="0"/>
      <charset val="1"/>
    </font>
    <font>
      <b val="true"/>
      <sz val="10"/>
      <color rgb="FFFFFFFF"/>
      <name val="Arial"/>
      <family val="0"/>
      <charset val="1"/>
    </font>
    <font>
      <b val="true"/>
      <sz val="10"/>
      <color rgb="FF002E6E"/>
      <name val="Arial"/>
      <family val="0"/>
      <charset val="1"/>
    </font>
    <font>
      <sz val="10"/>
      <color rgb="FF0000FF"/>
      <name val="Arial"/>
      <family val="0"/>
      <charset val="1"/>
    </font>
    <font>
      <b val="true"/>
      <sz val="10"/>
      <color rgb="FF000000"/>
      <name val="Arial"/>
      <family val="0"/>
      <charset val="1"/>
    </font>
    <font>
      <sz val="8"/>
      <color rgb="FF595959"/>
      <name val="Arial"/>
      <family val="0"/>
      <charset val="1"/>
    </font>
    <font>
      <sz val="10"/>
      <color rgb="FF008000"/>
      <name val="Arial"/>
      <family val="0"/>
      <charset val="1"/>
    </font>
    <font>
      <b val="true"/>
      <sz val="11"/>
      <color rgb="FFFFFFFF"/>
      <name val="Arial"/>
      <family val="0"/>
      <charset val="1"/>
    </font>
    <font>
      <b val="true"/>
      <sz val="10"/>
      <color rgb="FF595959"/>
      <name val="Arial"/>
      <family val="0"/>
      <charset val="1"/>
    </font>
    <font>
      <b val="true"/>
      <sz val="10"/>
      <color rgb="FF008000"/>
      <name val="Arial"/>
      <family val="0"/>
      <charset val="1"/>
    </font>
  </fonts>
  <fills count="8">
    <fill>
      <patternFill patternType="none"/>
    </fill>
    <fill>
      <patternFill patternType="gray125"/>
    </fill>
    <fill>
      <patternFill patternType="solid">
        <fgColor rgb="FF002E6E"/>
        <bgColor rgb="FF333399"/>
      </patternFill>
    </fill>
    <fill>
      <patternFill patternType="solid">
        <fgColor rgb="FFDDEBF7"/>
        <bgColor rgb="FFE8F4FB"/>
      </patternFill>
    </fill>
    <fill>
      <patternFill patternType="solid">
        <fgColor rgb="FFFFFF00"/>
        <bgColor rgb="FFFFFF00"/>
      </patternFill>
    </fill>
    <fill>
      <patternFill patternType="solid">
        <fgColor rgb="FFE8F4FB"/>
        <bgColor rgb="FFF2F2F2"/>
      </patternFill>
    </fill>
    <fill>
      <patternFill patternType="solid">
        <fgColor rgb="FF00BAF2"/>
        <bgColor rgb="FF33CCCC"/>
      </patternFill>
    </fill>
    <fill>
      <patternFill patternType="solid">
        <fgColor rgb="FFF2F2F2"/>
        <bgColor rgb="FFE8F4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false" applyProtection="false">
      <alignment horizontal="general" vertical="bottom" textRotation="0" wrapText="false" indent="0" shrinkToFit="false"/>
      <protection locked="true" hidden="false"/>
    </xf>
    <xf numFmtId="169" fontId="12" fillId="4" borderId="1" xfId="0" applyFont="true" applyBorder="true" applyAlignment="false" applyProtection="false">
      <alignment horizontal="general" vertical="bottom" textRotation="0" wrapText="false" indent="0" shrinkToFit="false"/>
      <protection locked="true" hidden="false"/>
    </xf>
    <xf numFmtId="170" fontId="12"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center" vertical="top"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71" fontId="6" fillId="5" borderId="0" xfId="0" applyFont="true" applyBorder="false" applyAlignment="false" applyProtection="false">
      <alignment horizontal="general" vertical="bottom" textRotation="0" wrapText="false" indent="0" shrinkToFit="false"/>
      <protection locked="true" hidden="false"/>
    </xf>
    <xf numFmtId="167" fontId="6"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73" fontId="15" fillId="0" borderId="0" xfId="0" applyFont="true" applyBorder="false" applyAlignment="true" applyProtection="false">
      <alignment horizontal="center" vertical="top"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F4FB"/>
      <rgbColor rgb="FF660066"/>
      <rgbColor rgb="FFFF8080"/>
      <rgbColor rgb="FF0066CC"/>
      <rgbColor rgb="FFCCCCFF"/>
      <rgbColor rgb="FF000080"/>
      <rgbColor rgb="FFFF00FF"/>
      <rgbColor rgb="FFFFFF00"/>
      <rgbColor rgb="FF00FFFF"/>
      <rgbColor rgb="FF800080"/>
      <rgbColor rgb="FF800000"/>
      <rgbColor rgb="FF008080"/>
      <rgbColor rgb="FF0000FF"/>
      <rgbColor rgb="FF00BAF2"/>
      <rgbColor rgb="FFDDEBF7"/>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2E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5"/>
  </cols>
  <sheetData>
    <row r="2" customFormat="false" ht="17.3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23.85" hidden="false" customHeight="false" outlineLevel="0" collapsed="false">
      <c r="B6" s="3" t="s">
        <v>3</v>
      </c>
    </row>
    <row r="7" customFormat="false" ht="35.05" hidden="false" customHeight="false" outlineLevel="0" collapsed="false">
      <c r="B7" s="3" t="s">
        <v>4</v>
      </c>
    </row>
    <row r="8" customFormat="false" ht="23.85" hidden="false" customHeight="false" outlineLevel="0" collapsed="false">
      <c r="B8" s="3" t="s">
        <v>5</v>
      </c>
    </row>
    <row r="9" customFormat="false" ht="23.85" hidden="false" customHeight="false" outlineLevel="0" collapsed="false">
      <c r="B9" s="3" t="s">
        <v>6</v>
      </c>
    </row>
    <row r="10" customFormat="false" ht="15" hidden="false" customHeight="false" outlineLevel="0" collapsed="false">
      <c r="B10" s="3" t="s">
        <v>7</v>
      </c>
    </row>
    <row r="11" customFormat="false" ht="15" hidden="false" customHeight="false" outlineLevel="0" collapsed="false">
      <c r="B11" s="3"/>
    </row>
    <row r="12" customFormat="false" ht="15" hidden="false" customHeight="false" outlineLevel="0" collapsed="false">
      <c r="B12" s="4" t="s">
        <v>8</v>
      </c>
    </row>
    <row r="13" customFormat="false" ht="15" hidden="false" customHeight="false" outlineLevel="0" collapsed="false">
      <c r="B13" s="3" t="s">
        <v>9</v>
      </c>
    </row>
    <row r="14" customFormat="false" ht="15" hidden="false" customHeight="false" outlineLevel="0" collapsed="false">
      <c r="B14" s="3" t="s">
        <v>10</v>
      </c>
    </row>
    <row r="15" customFormat="false" ht="15" hidden="false" customHeight="false" outlineLevel="0" collapsed="false">
      <c r="B15" s="3" t="s">
        <v>11</v>
      </c>
    </row>
    <row r="16" customFormat="false" ht="23.85" hidden="false" customHeight="false" outlineLevel="0" collapsed="false">
      <c r="B16" s="3" t="s">
        <v>12</v>
      </c>
    </row>
    <row r="17" customFormat="false" ht="15" hidden="false" customHeight="false" outlineLevel="0" collapsed="false">
      <c r="B17" s="3"/>
    </row>
    <row r="18" customFormat="false" ht="15" hidden="false" customHeight="false" outlineLevel="0" collapsed="false">
      <c r="B18" s="4" t="s">
        <v>13</v>
      </c>
    </row>
    <row r="19" customFormat="false" ht="23.85" hidden="false" customHeight="false" outlineLevel="0" collapsed="false">
      <c r="B19" s="3" t="s">
        <v>14</v>
      </c>
    </row>
    <row r="20" customFormat="false" ht="15" hidden="false" customHeight="false" outlineLevel="0" collapsed="false">
      <c r="B20" s="3" t="s">
        <v>15</v>
      </c>
    </row>
    <row r="21" customFormat="false" ht="15" hidden="false" customHeight="false" outlineLevel="0" collapsed="false">
      <c r="B21" s="3"/>
    </row>
    <row r="22" customFormat="false" ht="15" hidden="false" customHeight="false" outlineLevel="0" collapsed="false">
      <c r="B22" s="4" t="s">
        <v>16</v>
      </c>
    </row>
    <row r="23" customFormat="false" ht="15" hidden="false" customHeight="false" outlineLevel="0" collapsed="false">
      <c r="B23" s="3" t="s">
        <v>17</v>
      </c>
    </row>
    <row r="24" customFormat="false" ht="15" hidden="false" customHeight="false" outlineLevel="0" collapsed="false">
      <c r="B24" s="3" t="s">
        <v>18</v>
      </c>
    </row>
    <row r="25" customFormat="false" ht="15" hidden="false" customHeight="false" outlineLevel="0" collapsed="false">
      <c r="B25" s="3" t="s">
        <v>19</v>
      </c>
    </row>
    <row r="26" customFormat="false" ht="15" hidden="false" customHeight="false" outlineLevel="0" collapsed="false">
      <c r="B26" s="3" t="s">
        <v>20</v>
      </c>
    </row>
    <row r="27" customFormat="false" ht="15" hidden="false" customHeight="false" outlineLevel="0" collapsed="false">
      <c r="B27" s="3" t="s">
        <v>21</v>
      </c>
    </row>
    <row r="28" customFormat="false" ht="15" hidden="false" customHeight="false" outlineLevel="0" collapsed="false">
      <c r="B28" s="3"/>
    </row>
    <row r="29" customFormat="false" ht="23.85" hidden="false" customHeight="false" outlineLevel="0" collapsed="false">
      <c r="B29"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18"/>
    <col collapsed="false" customWidth="true" hidden="false" outlineLevel="0" max="11" min="4" style="0" width="11"/>
    <col collapsed="false" customWidth="true" hidden="false" outlineLevel="0" max="12" min="12" style="0" width="80"/>
  </cols>
  <sheetData>
    <row r="1" customFormat="false" ht="16.15" hidden="false" customHeight="false" outlineLevel="0" collapsed="false">
      <c r="A1" s="5" t="s">
        <v>23</v>
      </c>
    </row>
    <row r="2" customFormat="false" ht="15" hidden="false" customHeight="false" outlineLevel="0" collapsed="false">
      <c r="A2" s="6" t="s">
        <v>24</v>
      </c>
    </row>
    <row r="4" customFormat="false" ht="15" hidden="false" customHeight="false" outlineLevel="0" collapsed="false">
      <c r="A4" s="7" t="s">
        <v>25</v>
      </c>
      <c r="B4" s="7" t="s">
        <v>26</v>
      </c>
      <c r="C4" s="7" t="s">
        <v>27</v>
      </c>
      <c r="D4" s="7" t="s">
        <v>28</v>
      </c>
      <c r="E4" s="7" t="s">
        <v>29</v>
      </c>
      <c r="F4" s="7" t="s">
        <v>30</v>
      </c>
      <c r="L4" s="8" t="s">
        <v>31</v>
      </c>
    </row>
    <row r="5" customFormat="false" ht="15" hidden="false" customHeight="false" outlineLevel="0" collapsed="false">
      <c r="A5" s="9" t="s">
        <v>32</v>
      </c>
      <c r="B5" s="10"/>
      <c r="C5" s="10"/>
      <c r="D5" s="10"/>
      <c r="E5" s="10"/>
      <c r="F5" s="10"/>
      <c r="G5" s="10"/>
      <c r="H5" s="10"/>
      <c r="I5" s="10"/>
      <c r="J5" s="10"/>
      <c r="K5" s="10"/>
      <c r="L5" s="10"/>
    </row>
    <row r="6" customFormat="false" ht="23.85" hidden="false" customHeight="false" outlineLevel="0" collapsed="false">
      <c r="A6" s="11" t="s">
        <v>33</v>
      </c>
      <c r="B6" s="3" t="s">
        <v>34</v>
      </c>
      <c r="C6" s="2" t="s">
        <v>35</v>
      </c>
      <c r="D6" s="12" t="n">
        <v>0.0004</v>
      </c>
      <c r="E6" s="12" t="n">
        <v>0.0004</v>
      </c>
      <c r="F6" s="12" t="n">
        <v>0.0004</v>
      </c>
      <c r="L6" s="2" t="s">
        <v>36</v>
      </c>
    </row>
    <row r="7" customFormat="false" ht="23.85" hidden="false" customHeight="false" outlineLevel="0" collapsed="false">
      <c r="A7" s="11" t="s">
        <v>37</v>
      </c>
      <c r="B7" s="3" t="s">
        <v>38</v>
      </c>
      <c r="C7" s="2" t="s">
        <v>39</v>
      </c>
      <c r="D7" s="13" t="n">
        <v>50000</v>
      </c>
      <c r="E7" s="13" t="n">
        <v>60000</v>
      </c>
      <c r="F7" s="13" t="n">
        <v>80000</v>
      </c>
      <c r="L7" s="2" t="s">
        <v>40</v>
      </c>
    </row>
    <row r="8" customFormat="false" ht="23.85" hidden="false" customHeight="false" outlineLevel="0" collapsed="false">
      <c r="A8" s="11" t="s">
        <v>41</v>
      </c>
      <c r="B8" s="3" t="s">
        <v>42</v>
      </c>
      <c r="C8" s="2" t="s">
        <v>39</v>
      </c>
      <c r="D8" s="13" t="n">
        <v>80</v>
      </c>
      <c r="E8" s="13" t="n">
        <v>90</v>
      </c>
      <c r="F8" s="13" t="n">
        <v>100</v>
      </c>
      <c r="L8" s="2" t="s">
        <v>43</v>
      </c>
    </row>
    <row r="9" customFormat="false" ht="15" hidden="false" customHeight="false" outlineLevel="0" collapsed="false">
      <c r="A9" s="9" t="s">
        <v>44</v>
      </c>
      <c r="B9" s="10"/>
      <c r="C9" s="10"/>
      <c r="D9" s="10"/>
      <c r="E9" s="10"/>
      <c r="F9" s="10"/>
      <c r="G9" s="10"/>
      <c r="H9" s="10"/>
      <c r="I9" s="10"/>
      <c r="J9" s="10"/>
      <c r="K9" s="10"/>
      <c r="L9" s="10"/>
    </row>
    <row r="10" customFormat="false" ht="23.85" hidden="false" customHeight="false" outlineLevel="0" collapsed="false">
      <c r="A10" s="11" t="s">
        <v>45</v>
      </c>
      <c r="B10" s="3" t="s">
        <v>46</v>
      </c>
      <c r="C10" s="2" t="s">
        <v>47</v>
      </c>
      <c r="D10" s="14" t="n">
        <v>0.3</v>
      </c>
      <c r="E10" s="14" t="n">
        <v>0.4</v>
      </c>
      <c r="F10" s="14" t="n">
        <v>0.5</v>
      </c>
      <c r="L10" s="2" t="s">
        <v>48</v>
      </c>
    </row>
    <row r="11" customFormat="false" ht="35.05" hidden="false" customHeight="false" outlineLevel="0" collapsed="false">
      <c r="A11" s="11" t="s">
        <v>49</v>
      </c>
      <c r="B11" s="3" t="s">
        <v>50</v>
      </c>
      <c r="C11" s="2" t="s">
        <v>51</v>
      </c>
      <c r="D11" s="14" t="n">
        <v>0.05</v>
      </c>
      <c r="E11" s="14" t="n">
        <v>0.1</v>
      </c>
      <c r="F11" s="14" t="n">
        <v>0.15</v>
      </c>
      <c r="L11" s="2" t="s">
        <v>52</v>
      </c>
    </row>
    <row r="12" customFormat="false" ht="23.85" hidden="false" customHeight="false" outlineLevel="0" collapsed="false">
      <c r="A12" s="11" t="s">
        <v>53</v>
      </c>
      <c r="B12" s="3" t="s">
        <v>54</v>
      </c>
      <c r="C12" s="2" t="s">
        <v>39</v>
      </c>
      <c r="D12" s="13" t="n">
        <v>150000</v>
      </c>
      <c r="E12" s="13" t="n">
        <v>250000</v>
      </c>
      <c r="F12" s="13" t="n">
        <v>350000</v>
      </c>
      <c r="L12" s="2" t="s">
        <v>55</v>
      </c>
    </row>
    <row r="13" customFormat="false" ht="23.85" hidden="false" customHeight="false" outlineLevel="0" collapsed="false">
      <c r="A13" s="11" t="s">
        <v>56</v>
      </c>
      <c r="B13" s="3" t="s">
        <v>57</v>
      </c>
      <c r="C13" s="2" t="s">
        <v>58</v>
      </c>
      <c r="D13" s="14" t="n">
        <v>0.2</v>
      </c>
      <c r="E13" s="14" t="n">
        <v>0.35</v>
      </c>
      <c r="F13" s="14" t="n">
        <v>0.5</v>
      </c>
      <c r="L13" s="2" t="s">
        <v>59</v>
      </c>
    </row>
    <row r="14" customFormat="false" ht="23.85" hidden="false" customHeight="false" outlineLevel="0" collapsed="false">
      <c r="A14" s="11" t="s">
        <v>60</v>
      </c>
      <c r="B14" s="3" t="s">
        <v>61</v>
      </c>
      <c r="C14" s="2" t="s">
        <v>62</v>
      </c>
      <c r="D14" s="14" t="n">
        <v>0.5</v>
      </c>
      <c r="E14" s="14" t="n">
        <v>0.7</v>
      </c>
      <c r="F14" s="14" t="n">
        <v>0.85</v>
      </c>
      <c r="L14" s="2" t="s">
        <v>63</v>
      </c>
    </row>
    <row r="15" customFormat="false" ht="23.85" hidden="false" customHeight="false" outlineLevel="0" collapsed="false">
      <c r="A15" s="11" t="s">
        <v>64</v>
      </c>
      <c r="B15" s="3" t="s">
        <v>65</v>
      </c>
      <c r="C15" s="2" t="s">
        <v>66</v>
      </c>
      <c r="D15" s="14" t="n">
        <v>0.4</v>
      </c>
      <c r="E15" s="14" t="n">
        <v>0.6</v>
      </c>
      <c r="F15" s="14" t="n">
        <v>0.75</v>
      </c>
      <c r="L15" s="2" t="s">
        <v>67</v>
      </c>
    </row>
    <row r="16" customFormat="false" ht="15" hidden="false" customHeight="false" outlineLevel="0" collapsed="false">
      <c r="A16" s="9" t="s">
        <v>68</v>
      </c>
      <c r="B16" s="10"/>
      <c r="C16" s="10"/>
      <c r="D16" s="10"/>
      <c r="E16" s="10"/>
      <c r="F16" s="10"/>
      <c r="G16" s="10"/>
      <c r="H16" s="10"/>
      <c r="I16" s="10"/>
      <c r="J16" s="10"/>
      <c r="K16" s="10"/>
      <c r="L16" s="10"/>
    </row>
    <row r="17" customFormat="false" ht="15" hidden="false" customHeight="false" outlineLevel="0" collapsed="false">
      <c r="A17" s="11" t="s">
        <v>69</v>
      </c>
      <c r="B17" s="3" t="s">
        <v>70</v>
      </c>
      <c r="C17" s="2" t="s">
        <v>62</v>
      </c>
      <c r="D17" s="14" t="n">
        <v>0.15</v>
      </c>
      <c r="E17" s="14" t="n">
        <v>0.25</v>
      </c>
      <c r="F17" s="14" t="n">
        <v>0.35</v>
      </c>
      <c r="L17" s="2" t="s">
        <v>71</v>
      </c>
    </row>
    <row r="18" customFormat="false" ht="35.05" hidden="false" customHeight="false" outlineLevel="0" collapsed="false">
      <c r="A18" s="11" t="s">
        <v>72</v>
      </c>
      <c r="B18" s="3" t="s">
        <v>73</v>
      </c>
      <c r="C18" s="2" t="s">
        <v>74</v>
      </c>
      <c r="D18" s="14" t="n">
        <v>0.35</v>
      </c>
      <c r="E18" s="14" t="n">
        <v>0.5</v>
      </c>
      <c r="F18" s="14" t="n">
        <v>0.65</v>
      </c>
      <c r="L18" s="2" t="s">
        <v>75</v>
      </c>
    </row>
    <row r="19" customFormat="false" ht="15" hidden="false" customHeight="false" outlineLevel="0" collapsed="false">
      <c r="A19" s="11" t="s">
        <v>76</v>
      </c>
      <c r="B19" s="3" t="s">
        <v>77</v>
      </c>
      <c r="C19" s="2" t="s">
        <v>78</v>
      </c>
      <c r="D19" s="14" t="n">
        <v>0.45</v>
      </c>
      <c r="E19" s="14" t="n">
        <v>0.45</v>
      </c>
      <c r="F19" s="14" t="n">
        <v>0.45</v>
      </c>
      <c r="L19" s="2" t="s">
        <v>79</v>
      </c>
    </row>
    <row r="20" customFormat="false" ht="15" hidden="false" customHeight="false" outlineLevel="0" collapsed="false">
      <c r="A20" s="11" t="s">
        <v>80</v>
      </c>
      <c r="B20" s="3" t="s">
        <v>81</v>
      </c>
      <c r="C20" s="2" t="s">
        <v>78</v>
      </c>
      <c r="D20" s="14" t="n">
        <v>0.25</v>
      </c>
      <c r="E20" s="14" t="n">
        <v>0.25</v>
      </c>
      <c r="F20" s="14" t="n">
        <v>0.25</v>
      </c>
      <c r="L20" s="2" t="s">
        <v>82</v>
      </c>
    </row>
    <row r="21" customFormat="false" ht="15" hidden="false" customHeight="false" outlineLevel="0" collapsed="false">
      <c r="A21" s="11" t="s">
        <v>83</v>
      </c>
      <c r="B21" s="3" t="s">
        <v>84</v>
      </c>
      <c r="C21" s="2" t="s">
        <v>78</v>
      </c>
      <c r="D21" s="14" t="n">
        <v>0.15</v>
      </c>
      <c r="E21" s="14" t="n">
        <v>0.15</v>
      </c>
      <c r="F21" s="14" t="n">
        <v>0.15</v>
      </c>
      <c r="L21" s="2" t="s">
        <v>85</v>
      </c>
    </row>
    <row r="22" customFormat="false" ht="15" hidden="false" customHeight="false" outlineLevel="0" collapsed="false">
      <c r="A22" s="11" t="s">
        <v>86</v>
      </c>
      <c r="B22" s="3" t="s">
        <v>87</v>
      </c>
      <c r="C22" s="2" t="s">
        <v>78</v>
      </c>
      <c r="D22" s="15" t="n">
        <f aca="false">1-D19-D20-D21</f>
        <v>0.15</v>
      </c>
      <c r="E22" s="15" t="n">
        <f aca="false">1-E19-E20-E21</f>
        <v>0.15</v>
      </c>
      <c r="F22" s="15" t="n">
        <f aca="false">1-F19-F20-F21</f>
        <v>0.15</v>
      </c>
      <c r="L22" s="2" t="s">
        <v>88</v>
      </c>
    </row>
    <row r="23" customFormat="false" ht="23.85" hidden="false" customHeight="false" outlineLevel="0" collapsed="false">
      <c r="A23" s="11" t="s">
        <v>89</v>
      </c>
      <c r="B23" s="3" t="s">
        <v>90</v>
      </c>
      <c r="C23" s="2" t="s">
        <v>91</v>
      </c>
      <c r="D23" s="12" t="n">
        <v>0.003</v>
      </c>
      <c r="E23" s="12" t="n">
        <v>0.005</v>
      </c>
      <c r="F23" s="12" t="n">
        <v>0.007</v>
      </c>
      <c r="L23" s="2" t="s">
        <v>92</v>
      </c>
    </row>
    <row r="24" customFormat="false" ht="15" hidden="false" customHeight="false" outlineLevel="0" collapsed="false">
      <c r="A24" s="11" t="s">
        <v>93</v>
      </c>
      <c r="B24" s="3" t="s">
        <v>94</v>
      </c>
      <c r="C24" s="2" t="s">
        <v>91</v>
      </c>
      <c r="D24" s="12" t="n">
        <v>0</v>
      </c>
      <c r="E24" s="12" t="n">
        <v>0</v>
      </c>
      <c r="F24" s="12" t="n">
        <v>0.001</v>
      </c>
      <c r="L24" s="2" t="s">
        <v>95</v>
      </c>
    </row>
    <row r="25" customFormat="false" ht="15" hidden="false" customHeight="false" outlineLevel="0" collapsed="false">
      <c r="A25" s="11" t="s">
        <v>96</v>
      </c>
      <c r="B25" s="3" t="s">
        <v>97</v>
      </c>
      <c r="C25" s="2" t="s">
        <v>91</v>
      </c>
      <c r="D25" s="12" t="n">
        <v>0.002</v>
      </c>
      <c r="E25" s="12" t="n">
        <v>0.004</v>
      </c>
      <c r="F25" s="12" t="n">
        <v>0.005</v>
      </c>
      <c r="L25" s="2" t="s">
        <v>98</v>
      </c>
    </row>
    <row r="26" customFormat="false" ht="15" hidden="false" customHeight="false" outlineLevel="0" collapsed="false">
      <c r="A26" s="11" t="s">
        <v>99</v>
      </c>
      <c r="B26" s="3" t="s">
        <v>100</v>
      </c>
      <c r="C26" s="2" t="s">
        <v>91</v>
      </c>
      <c r="D26" s="12" t="n">
        <v>0.002</v>
      </c>
      <c r="E26" s="12" t="n">
        <v>0.003</v>
      </c>
      <c r="F26" s="12" t="n">
        <v>0.005</v>
      </c>
      <c r="L26" s="2" t="s">
        <v>98</v>
      </c>
    </row>
    <row r="27" customFormat="false" ht="23.85" hidden="false" customHeight="false" outlineLevel="0" collapsed="false">
      <c r="A27" s="11" t="s">
        <v>101</v>
      </c>
      <c r="B27" s="3" t="s">
        <v>102</v>
      </c>
      <c r="C27" s="2" t="s">
        <v>103</v>
      </c>
      <c r="D27" s="14" t="n">
        <v>0.05</v>
      </c>
      <c r="E27" s="14" t="n">
        <v>0.1</v>
      </c>
      <c r="F27" s="14" t="n">
        <v>0.15</v>
      </c>
      <c r="L27" s="2" t="s">
        <v>104</v>
      </c>
    </row>
    <row r="28" customFormat="false" ht="23.85" hidden="false" customHeight="false" outlineLevel="0" collapsed="false">
      <c r="A28" s="11" t="s">
        <v>105</v>
      </c>
      <c r="B28" s="3" t="s">
        <v>106</v>
      </c>
      <c r="C28" s="2" t="s">
        <v>107</v>
      </c>
      <c r="D28" s="13" t="n">
        <v>100000</v>
      </c>
      <c r="E28" s="13" t="n">
        <v>150000</v>
      </c>
      <c r="F28" s="13" t="n">
        <v>200000</v>
      </c>
      <c r="L28" s="2" t="s">
        <v>108</v>
      </c>
    </row>
    <row r="29" customFormat="false" ht="15" hidden="false" customHeight="false" outlineLevel="0" collapsed="false">
      <c r="A29" s="11" t="s">
        <v>109</v>
      </c>
      <c r="B29" s="3" t="s">
        <v>110</v>
      </c>
      <c r="C29" s="2" t="s">
        <v>111</v>
      </c>
      <c r="D29" s="14" t="n">
        <v>0.02</v>
      </c>
      <c r="E29" s="14" t="n">
        <v>0.03</v>
      </c>
      <c r="F29" s="14" t="n">
        <v>0.04</v>
      </c>
      <c r="L29" s="2" t="s">
        <v>112</v>
      </c>
    </row>
    <row r="30" customFormat="false" ht="23.85" hidden="false" customHeight="false" outlineLevel="0" collapsed="false">
      <c r="A30" s="11" t="s">
        <v>113</v>
      </c>
      <c r="B30" s="3" t="s">
        <v>114</v>
      </c>
      <c r="C30" s="2" t="s">
        <v>91</v>
      </c>
      <c r="D30" s="12" t="n">
        <v>0.0025</v>
      </c>
      <c r="E30" s="12" t="n">
        <v>0.001</v>
      </c>
      <c r="F30" s="12" t="n">
        <v>0</v>
      </c>
      <c r="L30" s="2" t="s">
        <v>115</v>
      </c>
    </row>
    <row r="31" customFormat="false" ht="15" hidden="false" customHeight="false" outlineLevel="0" collapsed="false">
      <c r="A31" s="11" t="s">
        <v>116</v>
      </c>
      <c r="B31" s="3" t="s">
        <v>117</v>
      </c>
      <c r="C31" s="2" t="s">
        <v>111</v>
      </c>
      <c r="D31" s="16" t="n">
        <v>0.015</v>
      </c>
      <c r="E31" s="16" t="n">
        <v>0.005</v>
      </c>
      <c r="F31" s="16" t="n">
        <v>0</v>
      </c>
      <c r="L31" s="2" t="s">
        <v>118</v>
      </c>
    </row>
    <row r="32" customFormat="false" ht="15" hidden="false" customHeight="false" outlineLevel="0" collapsed="false">
      <c r="A32" s="9" t="s">
        <v>119</v>
      </c>
      <c r="B32" s="10"/>
      <c r="C32" s="10"/>
      <c r="D32" s="10"/>
      <c r="E32" s="10"/>
      <c r="F32" s="10"/>
      <c r="G32" s="10"/>
      <c r="H32" s="10"/>
      <c r="I32" s="10"/>
      <c r="J32" s="10"/>
      <c r="K32" s="10"/>
      <c r="L32" s="10"/>
    </row>
    <row r="33" customFormat="false" ht="23.85" hidden="false" customHeight="false" outlineLevel="0" collapsed="false">
      <c r="A33" s="11" t="s">
        <v>120</v>
      </c>
      <c r="B33" s="3" t="s">
        <v>121</v>
      </c>
      <c r="C33" s="2" t="s">
        <v>122</v>
      </c>
      <c r="D33" s="17" t="n">
        <v>0</v>
      </c>
      <c r="E33" s="17" t="n">
        <v>1</v>
      </c>
      <c r="F33" s="17" t="n">
        <v>1</v>
      </c>
      <c r="L33" s="2" t="s">
        <v>123</v>
      </c>
    </row>
    <row r="34" customFormat="false" ht="23.85" hidden="false" customHeight="false" outlineLevel="0" collapsed="false">
      <c r="A34" s="11" t="s">
        <v>124</v>
      </c>
      <c r="B34" s="3" t="s">
        <v>125</v>
      </c>
      <c r="C34" s="2" t="s">
        <v>126</v>
      </c>
      <c r="D34" s="14" t="n">
        <v>0.4</v>
      </c>
      <c r="E34" s="14" t="n">
        <v>0.6</v>
      </c>
      <c r="F34" s="14" t="n">
        <v>0.75</v>
      </c>
      <c r="L34" s="2" t="s">
        <v>127</v>
      </c>
    </row>
    <row r="35" customFormat="false" ht="23.85" hidden="false" customHeight="false" outlineLevel="0" collapsed="false">
      <c r="A35" s="11" t="s">
        <v>128</v>
      </c>
      <c r="B35" s="3" t="s">
        <v>129</v>
      </c>
      <c r="C35" s="2" t="s">
        <v>126</v>
      </c>
      <c r="D35" s="12" t="n">
        <v>0.0005</v>
      </c>
      <c r="E35" s="12" t="n">
        <v>0.001</v>
      </c>
      <c r="F35" s="12" t="n">
        <v>0.0015</v>
      </c>
      <c r="L35" s="2" t="s">
        <v>130</v>
      </c>
    </row>
    <row r="36" customFormat="false" ht="23.85" hidden="false" customHeight="false" outlineLevel="0" collapsed="false">
      <c r="A36" s="11" t="s">
        <v>131</v>
      </c>
      <c r="B36" s="3" t="s">
        <v>132</v>
      </c>
      <c r="C36" s="2" t="s">
        <v>133</v>
      </c>
      <c r="D36" s="14" t="n">
        <v>0.1</v>
      </c>
      <c r="E36" s="14" t="n">
        <v>0.2</v>
      </c>
      <c r="F36" s="14" t="n">
        <v>0.3</v>
      </c>
      <c r="L36" s="2" t="s">
        <v>98</v>
      </c>
    </row>
    <row r="37" customFormat="false" ht="15" hidden="false" customHeight="false" outlineLevel="0" collapsed="false">
      <c r="A37" s="11" t="s">
        <v>134</v>
      </c>
      <c r="B37" s="3" t="s">
        <v>135</v>
      </c>
      <c r="C37" s="2" t="s">
        <v>39</v>
      </c>
      <c r="D37" s="13" t="n">
        <v>49</v>
      </c>
      <c r="E37" s="13" t="n">
        <v>99</v>
      </c>
      <c r="F37" s="13" t="n">
        <v>149</v>
      </c>
      <c r="L37" s="2" t="s">
        <v>136</v>
      </c>
    </row>
    <row r="38" customFormat="false" ht="23.85" hidden="false" customHeight="false" outlineLevel="0" collapsed="false">
      <c r="A38" s="11" t="s">
        <v>137</v>
      </c>
      <c r="B38" s="3" t="s">
        <v>138</v>
      </c>
      <c r="C38" s="2" t="s">
        <v>39</v>
      </c>
      <c r="D38" s="13" t="n">
        <v>50000</v>
      </c>
      <c r="E38" s="13" t="n">
        <v>80000</v>
      </c>
      <c r="F38" s="13" t="n">
        <v>120000</v>
      </c>
      <c r="L38" s="2" t="s">
        <v>139</v>
      </c>
    </row>
    <row r="39" customFormat="false" ht="23.85" hidden="false" customHeight="false" outlineLevel="0" collapsed="false">
      <c r="A39" s="11" t="s">
        <v>140</v>
      </c>
      <c r="B39" s="3" t="s">
        <v>141</v>
      </c>
      <c r="C39" s="2" t="s">
        <v>142</v>
      </c>
      <c r="D39" s="14" t="n">
        <v>0.01</v>
      </c>
      <c r="E39" s="14" t="n">
        <v>0.02</v>
      </c>
      <c r="F39" s="14" t="n">
        <v>0.03</v>
      </c>
      <c r="L39" s="2" t="s">
        <v>143</v>
      </c>
    </row>
    <row r="40" customFormat="false" ht="15" hidden="false" customHeight="false" outlineLevel="0" collapsed="false">
      <c r="A40" s="9" t="s">
        <v>144</v>
      </c>
      <c r="B40" s="10"/>
      <c r="C40" s="10"/>
      <c r="D40" s="10"/>
      <c r="E40" s="10"/>
      <c r="F40" s="10"/>
      <c r="G40" s="10"/>
      <c r="H40" s="10"/>
      <c r="I40" s="10"/>
      <c r="J40" s="10"/>
      <c r="K40" s="10"/>
      <c r="L40" s="10"/>
    </row>
    <row r="41" customFormat="false" ht="15" hidden="false" customHeight="false" outlineLevel="0" collapsed="false">
      <c r="A41" s="11" t="s">
        <v>145</v>
      </c>
      <c r="B41" s="3" t="s">
        <v>146</v>
      </c>
      <c r="C41" s="2" t="s">
        <v>39</v>
      </c>
      <c r="D41" s="13" t="n">
        <v>25</v>
      </c>
      <c r="E41" s="13" t="n">
        <v>15</v>
      </c>
      <c r="F41" s="13" t="n">
        <v>10</v>
      </c>
      <c r="L41" s="2" t="s">
        <v>98</v>
      </c>
    </row>
    <row r="42" customFormat="false" ht="15" hidden="false" customHeight="false" outlineLevel="0" collapsed="false">
      <c r="A42" s="11" t="s">
        <v>147</v>
      </c>
      <c r="B42" s="3" t="s">
        <v>148</v>
      </c>
      <c r="C42" s="2" t="s">
        <v>39</v>
      </c>
      <c r="D42" s="13" t="n">
        <v>25</v>
      </c>
      <c r="E42" s="13" t="n">
        <v>15</v>
      </c>
      <c r="F42" s="13" t="n">
        <v>10</v>
      </c>
      <c r="L42" s="2" t="s">
        <v>98</v>
      </c>
    </row>
    <row r="43" customFormat="false" ht="23.85" hidden="false" customHeight="false" outlineLevel="0" collapsed="false">
      <c r="A43" s="11" t="s">
        <v>149</v>
      </c>
      <c r="B43" s="3" t="s">
        <v>150</v>
      </c>
      <c r="C43" s="2" t="s">
        <v>151</v>
      </c>
      <c r="D43" s="13" t="n">
        <v>400</v>
      </c>
      <c r="E43" s="13" t="n">
        <v>250</v>
      </c>
      <c r="F43" s="13" t="n">
        <v>150</v>
      </c>
      <c r="L43" s="2" t="s">
        <v>98</v>
      </c>
    </row>
    <row r="44" customFormat="false" ht="15" hidden="false" customHeight="false" outlineLevel="0" collapsed="false">
      <c r="A44" s="11" t="s">
        <v>152</v>
      </c>
      <c r="B44" s="3" t="s">
        <v>153</v>
      </c>
      <c r="C44" s="2" t="s">
        <v>39</v>
      </c>
      <c r="D44" s="13" t="n">
        <v>20</v>
      </c>
      <c r="E44" s="13" t="n">
        <v>12</v>
      </c>
      <c r="F44" s="13" t="n">
        <v>8</v>
      </c>
      <c r="L44" s="2" t="s">
        <v>98</v>
      </c>
    </row>
    <row r="45" customFormat="false" ht="15" hidden="false" customHeight="false" outlineLevel="0" collapsed="false">
      <c r="A45" s="11" t="s">
        <v>154</v>
      </c>
      <c r="B45" s="3" t="s">
        <v>155</v>
      </c>
      <c r="C45" s="2" t="s">
        <v>126</v>
      </c>
      <c r="D45" s="12" t="n">
        <v>0.0002</v>
      </c>
      <c r="E45" s="12" t="n">
        <v>0.0001</v>
      </c>
      <c r="F45" s="12" t="n">
        <v>5E-005</v>
      </c>
      <c r="L45" s="2" t="s">
        <v>98</v>
      </c>
    </row>
    <row r="46" customFormat="false" ht="15" hidden="false" customHeight="false" outlineLevel="0" collapsed="false">
      <c r="A46" s="9" t="s">
        <v>156</v>
      </c>
      <c r="B46" s="10"/>
      <c r="C46" s="10"/>
      <c r="D46" s="10"/>
      <c r="E46" s="10"/>
      <c r="F46" s="10"/>
      <c r="G46" s="10"/>
      <c r="H46" s="10"/>
      <c r="I46" s="10"/>
      <c r="J46" s="10"/>
      <c r="K46" s="10"/>
      <c r="L46" s="10"/>
    </row>
    <row r="47" customFormat="false" ht="15" hidden="false" customHeight="false" outlineLevel="0" collapsed="false">
      <c r="A47" s="11" t="s">
        <v>157</v>
      </c>
      <c r="B47" s="3" t="s">
        <v>158</v>
      </c>
      <c r="C47" s="2" t="s">
        <v>142</v>
      </c>
      <c r="D47" s="14" t="n">
        <v>0.07</v>
      </c>
      <c r="E47" s="14" t="n">
        <v>0.09</v>
      </c>
      <c r="F47" s="14" t="n">
        <v>0.11</v>
      </c>
      <c r="L47" s="2" t="s">
        <v>159</v>
      </c>
    </row>
    <row r="48" customFormat="false" ht="15" hidden="false" customHeight="false" outlineLevel="0" collapsed="false">
      <c r="A48" s="11" t="s">
        <v>160</v>
      </c>
      <c r="B48" s="3" t="s">
        <v>161</v>
      </c>
      <c r="C48" s="2" t="s">
        <v>162</v>
      </c>
      <c r="D48" s="16" t="n">
        <v>0.02</v>
      </c>
      <c r="E48" s="16" t="n">
        <v>0.0175</v>
      </c>
      <c r="F48" s="16" t="n">
        <v>0.015</v>
      </c>
      <c r="L48" s="2" t="s">
        <v>163</v>
      </c>
    </row>
    <row r="49" customFormat="false" ht="23.85" hidden="false" customHeight="false" outlineLevel="0" collapsed="false">
      <c r="A49" s="11" t="s">
        <v>164</v>
      </c>
      <c r="B49" s="3" t="s">
        <v>165</v>
      </c>
      <c r="C49" s="2" t="s">
        <v>166</v>
      </c>
      <c r="D49" s="16" t="n">
        <v>0.001</v>
      </c>
      <c r="E49" s="16" t="n">
        <v>0.002</v>
      </c>
      <c r="F49" s="16" t="n">
        <v>0.003</v>
      </c>
      <c r="L49" s="2" t="s">
        <v>167</v>
      </c>
    </row>
    <row r="50" customFormat="false" ht="15" hidden="false" customHeight="false" outlineLevel="0" collapsed="false">
      <c r="A50" s="9" t="s">
        <v>168</v>
      </c>
      <c r="B50" s="10"/>
      <c r="C50" s="10"/>
      <c r="D50" s="10"/>
      <c r="E50" s="10"/>
      <c r="F50" s="10"/>
      <c r="G50" s="10"/>
      <c r="H50" s="10"/>
      <c r="I50" s="10"/>
      <c r="J50" s="10"/>
      <c r="K50" s="10"/>
      <c r="L50" s="10"/>
    </row>
    <row r="51" customFormat="false" ht="23.85" hidden="false" customHeight="false" outlineLevel="0" collapsed="false">
      <c r="A51" s="11" t="s">
        <v>169</v>
      </c>
      <c r="B51" s="3" t="s">
        <v>170</v>
      </c>
      <c r="C51" s="2" t="s">
        <v>171</v>
      </c>
      <c r="D51" s="13" t="n">
        <v>40</v>
      </c>
      <c r="E51" s="13" t="n">
        <v>40</v>
      </c>
      <c r="F51" s="13" t="n">
        <v>40</v>
      </c>
      <c r="L51" s="2" t="s">
        <v>172</v>
      </c>
    </row>
    <row r="52" customFormat="false" ht="15" hidden="false" customHeight="false" outlineLevel="0" collapsed="false">
      <c r="A52" s="11" t="s">
        <v>173</v>
      </c>
      <c r="B52" s="3" t="s">
        <v>174</v>
      </c>
      <c r="C52" s="2" t="s">
        <v>175</v>
      </c>
      <c r="D52" s="14" t="n">
        <v>0.6</v>
      </c>
      <c r="E52" s="14" t="n">
        <v>0.6</v>
      </c>
      <c r="F52" s="14" t="n">
        <v>0.6</v>
      </c>
      <c r="L52" s="2" t="s">
        <v>98</v>
      </c>
    </row>
    <row r="53" customFormat="false" ht="15" hidden="false" customHeight="false" outlineLevel="0" collapsed="false">
      <c r="A53" s="11" t="s">
        <v>176</v>
      </c>
      <c r="B53" s="3" t="s">
        <v>177</v>
      </c>
      <c r="C53" s="2" t="s">
        <v>178</v>
      </c>
      <c r="D53" s="14" t="n">
        <v>0.15</v>
      </c>
      <c r="E53" s="14" t="n">
        <v>0.3</v>
      </c>
      <c r="F53" s="14" t="n">
        <v>0.45</v>
      </c>
      <c r="L53" s="2" t="s">
        <v>179</v>
      </c>
    </row>
    <row r="54" customFormat="false" ht="15" hidden="false" customHeight="false" outlineLevel="0" collapsed="false">
      <c r="A54" s="11" t="s">
        <v>180</v>
      </c>
      <c r="B54" s="3" t="s">
        <v>181</v>
      </c>
      <c r="C54" s="2" t="s">
        <v>182</v>
      </c>
      <c r="D54" s="13" t="n">
        <v>350</v>
      </c>
      <c r="E54" s="13" t="n">
        <v>350</v>
      </c>
      <c r="F54" s="13" t="n">
        <v>350</v>
      </c>
      <c r="L54" s="2" t="s">
        <v>98</v>
      </c>
    </row>
    <row r="55" customFormat="false" ht="15" hidden="false" customHeight="false" outlineLevel="0" collapsed="false">
      <c r="A55" s="11" t="s">
        <v>183</v>
      </c>
      <c r="B55" s="3" t="s">
        <v>184</v>
      </c>
      <c r="C55" s="2" t="s">
        <v>175</v>
      </c>
      <c r="D55" s="14" t="n">
        <v>0.25</v>
      </c>
      <c r="E55" s="14" t="n">
        <v>0.25</v>
      </c>
      <c r="F55" s="14" t="n">
        <v>0.25</v>
      </c>
      <c r="L55" s="2" t="s">
        <v>98</v>
      </c>
    </row>
    <row r="56" customFormat="false" ht="15" hidden="false" customHeight="false" outlineLevel="0" collapsed="false">
      <c r="A56" s="11" t="s">
        <v>185</v>
      </c>
      <c r="B56" s="3" t="s">
        <v>186</v>
      </c>
      <c r="C56" s="2" t="s">
        <v>187</v>
      </c>
      <c r="D56" s="14" t="n">
        <v>0.05</v>
      </c>
      <c r="E56" s="14" t="n">
        <v>0.1</v>
      </c>
      <c r="F56" s="14" t="n">
        <v>0.2</v>
      </c>
      <c r="L56" s="2" t="s">
        <v>98</v>
      </c>
    </row>
    <row r="57" customFormat="false" ht="15" hidden="false" customHeight="false" outlineLevel="0" collapsed="false">
      <c r="A57" s="11" t="s">
        <v>188</v>
      </c>
      <c r="B57" s="3" t="s">
        <v>189</v>
      </c>
      <c r="C57" s="2" t="s">
        <v>190</v>
      </c>
      <c r="D57" s="13" t="n">
        <v>1500</v>
      </c>
      <c r="E57" s="13" t="n">
        <v>1500</v>
      </c>
      <c r="F57" s="13" t="n">
        <v>1500</v>
      </c>
      <c r="L57" s="2" t="s">
        <v>98</v>
      </c>
    </row>
    <row r="58" customFormat="false" ht="15" hidden="false" customHeight="false" outlineLevel="0" collapsed="false">
      <c r="A58" s="11" t="s">
        <v>191</v>
      </c>
      <c r="B58" s="3" t="s">
        <v>192</v>
      </c>
      <c r="C58" s="2" t="s">
        <v>193</v>
      </c>
      <c r="D58" s="18" t="n">
        <v>4</v>
      </c>
      <c r="E58" s="18" t="n">
        <v>4</v>
      </c>
      <c r="F58" s="18" t="n">
        <v>4</v>
      </c>
      <c r="L58" s="2" t="s">
        <v>98</v>
      </c>
    </row>
    <row r="59" customFormat="false" ht="15" hidden="false" customHeight="false" outlineLevel="0" collapsed="false">
      <c r="A59" s="11" t="s">
        <v>194</v>
      </c>
      <c r="B59" s="3" t="s">
        <v>195</v>
      </c>
      <c r="C59" s="2" t="s">
        <v>196</v>
      </c>
      <c r="D59" s="14" t="n">
        <v>0.25</v>
      </c>
      <c r="E59" s="14" t="n">
        <v>0.5</v>
      </c>
      <c r="F59" s="14" t="n">
        <v>0.65</v>
      </c>
      <c r="L59" s="2" t="s">
        <v>98</v>
      </c>
    </row>
    <row r="60" customFormat="false" ht="35.05" hidden="false" customHeight="false" outlineLevel="0" collapsed="false">
      <c r="A60" s="11" t="s">
        <v>197</v>
      </c>
      <c r="B60" s="3" t="s">
        <v>198</v>
      </c>
      <c r="C60" s="2" t="s">
        <v>199</v>
      </c>
      <c r="D60" s="14" t="n">
        <v>0.1</v>
      </c>
      <c r="E60" s="14" t="n">
        <v>0.2</v>
      </c>
      <c r="F60" s="14" t="n">
        <v>0.3</v>
      </c>
      <c r="L60" s="2" t="s">
        <v>200</v>
      </c>
    </row>
    <row r="61" customFormat="false" ht="15" hidden="false" customHeight="false" outlineLevel="0" collapsed="false">
      <c r="A61" s="11" t="s">
        <v>201</v>
      </c>
      <c r="B61" s="3" t="s">
        <v>202</v>
      </c>
      <c r="C61" s="2" t="s">
        <v>203</v>
      </c>
      <c r="D61" s="14" t="n">
        <v>0.08</v>
      </c>
      <c r="E61" s="14" t="n">
        <v>0.08</v>
      </c>
      <c r="F61" s="14" t="n">
        <v>0.08</v>
      </c>
      <c r="L61" s="2" t="s">
        <v>204</v>
      </c>
    </row>
    <row r="62" customFormat="false" ht="15" hidden="false" customHeight="false" outlineLevel="0" collapsed="false">
      <c r="A62" s="11" t="s">
        <v>205</v>
      </c>
      <c r="B62" s="3" t="s">
        <v>206</v>
      </c>
      <c r="C62" s="2" t="s">
        <v>207</v>
      </c>
      <c r="D62" s="14" t="n">
        <v>0.15</v>
      </c>
      <c r="E62" s="14" t="n">
        <v>0.3</v>
      </c>
      <c r="F62" s="14" t="n">
        <v>0.45</v>
      </c>
      <c r="L62" s="2" t="s">
        <v>98</v>
      </c>
    </row>
    <row r="63" customFormat="false" ht="15" hidden="false" customHeight="false" outlineLevel="0" collapsed="false">
      <c r="A63" s="11" t="s">
        <v>208</v>
      </c>
      <c r="B63" s="3" t="s">
        <v>209</v>
      </c>
      <c r="C63" s="2" t="s">
        <v>39</v>
      </c>
      <c r="D63" s="18" t="n">
        <v>2</v>
      </c>
      <c r="E63" s="18" t="n">
        <v>1</v>
      </c>
      <c r="F63" s="18" t="n">
        <v>0.5</v>
      </c>
      <c r="L63" s="2" t="s">
        <v>98</v>
      </c>
    </row>
    <row r="64" customFormat="false" ht="15" hidden="false" customHeight="false" outlineLevel="0" collapsed="false">
      <c r="A64" s="11" t="s">
        <v>210</v>
      </c>
      <c r="B64" s="3" t="s">
        <v>211</v>
      </c>
      <c r="C64" s="2" t="s">
        <v>212</v>
      </c>
      <c r="D64" s="13" t="n">
        <v>15</v>
      </c>
      <c r="E64" s="13" t="n">
        <v>10</v>
      </c>
      <c r="F64" s="13" t="n">
        <v>5</v>
      </c>
      <c r="L64" s="2" t="s">
        <v>98</v>
      </c>
    </row>
    <row r="65" customFormat="false" ht="15" hidden="false" customHeight="false" outlineLevel="0" collapsed="false">
      <c r="A65" s="9" t="s">
        <v>213</v>
      </c>
      <c r="B65" s="10"/>
      <c r="C65" s="10"/>
      <c r="D65" s="10"/>
      <c r="E65" s="10"/>
      <c r="F65" s="10"/>
      <c r="G65" s="10"/>
      <c r="H65" s="10"/>
      <c r="I65" s="10"/>
      <c r="J65" s="10"/>
      <c r="K65" s="10"/>
      <c r="L65" s="10"/>
    </row>
    <row r="66" customFormat="false" ht="23.85" hidden="false" customHeight="false" outlineLevel="0" collapsed="false">
      <c r="A66" s="11" t="s">
        <v>214</v>
      </c>
      <c r="B66" s="3" t="s">
        <v>215</v>
      </c>
      <c r="C66" s="2" t="s">
        <v>122</v>
      </c>
      <c r="D66" s="17" t="n">
        <v>0</v>
      </c>
      <c r="E66" s="17" t="n">
        <v>0</v>
      </c>
      <c r="F66" s="17" t="n">
        <v>0</v>
      </c>
      <c r="L66" s="2" t="s">
        <v>216</v>
      </c>
    </row>
    <row r="67" customFormat="false" ht="23.85" hidden="false" customHeight="false" outlineLevel="0" collapsed="false">
      <c r="A67" s="11" t="s">
        <v>217</v>
      </c>
      <c r="B67" s="3" t="s">
        <v>218</v>
      </c>
      <c r="C67" s="2" t="s">
        <v>47</v>
      </c>
      <c r="D67" s="14" t="n">
        <v>0.2</v>
      </c>
      <c r="E67" s="14" t="n">
        <v>0.3</v>
      </c>
      <c r="F67" s="14" t="n">
        <v>0.4</v>
      </c>
      <c r="L67" s="2" t="s">
        <v>219</v>
      </c>
    </row>
    <row r="68" customFormat="false" ht="23.85" hidden="false" customHeight="false" outlineLevel="0" collapsed="false">
      <c r="A68" s="11" t="s">
        <v>220</v>
      </c>
      <c r="B68" s="3" t="s">
        <v>221</v>
      </c>
      <c r="C68" s="2" t="s">
        <v>51</v>
      </c>
      <c r="D68" s="14" t="n">
        <v>0.05</v>
      </c>
      <c r="E68" s="14" t="n">
        <v>0.1</v>
      </c>
      <c r="F68" s="14" t="n">
        <v>0.15</v>
      </c>
      <c r="L68" s="2" t="s">
        <v>98</v>
      </c>
    </row>
    <row r="69" customFormat="false" ht="23.85" hidden="false" customHeight="false" outlineLevel="0" collapsed="false">
      <c r="A69" s="11" t="s">
        <v>222</v>
      </c>
      <c r="B69" s="3" t="s">
        <v>223</v>
      </c>
      <c r="C69" s="2" t="s">
        <v>224</v>
      </c>
      <c r="D69" s="13" t="n">
        <v>2</v>
      </c>
      <c r="E69" s="13" t="n">
        <v>4</v>
      </c>
      <c r="F69" s="13" t="n">
        <v>6</v>
      </c>
      <c r="L69" s="2" t="s">
        <v>225</v>
      </c>
    </row>
    <row r="70" customFormat="false" ht="15" hidden="false" customHeight="false" outlineLevel="0" collapsed="false">
      <c r="A70" s="11" t="s">
        <v>226</v>
      </c>
      <c r="B70" s="3" t="s">
        <v>227</v>
      </c>
      <c r="C70" s="2" t="s">
        <v>182</v>
      </c>
      <c r="D70" s="13" t="n">
        <v>250</v>
      </c>
      <c r="E70" s="13" t="n">
        <v>300</v>
      </c>
      <c r="F70" s="13" t="n">
        <v>350</v>
      </c>
      <c r="L70" s="2" t="s">
        <v>228</v>
      </c>
    </row>
    <row r="71" customFormat="false" ht="23.85" hidden="false" customHeight="false" outlineLevel="0" collapsed="false">
      <c r="A71" s="11" t="s">
        <v>229</v>
      </c>
      <c r="B71" s="3" t="s">
        <v>230</v>
      </c>
      <c r="C71" s="2" t="s">
        <v>35</v>
      </c>
      <c r="D71" s="14" t="n">
        <v>0.3</v>
      </c>
      <c r="E71" s="14" t="n">
        <v>0.5</v>
      </c>
      <c r="F71" s="14" t="n">
        <v>0.7</v>
      </c>
      <c r="L71" s="2" t="s">
        <v>98</v>
      </c>
    </row>
    <row r="72" customFormat="false" ht="15" hidden="false" customHeight="false" outlineLevel="0" collapsed="false">
      <c r="A72" s="11" t="s">
        <v>231</v>
      </c>
      <c r="B72" s="3" t="s">
        <v>232</v>
      </c>
      <c r="C72" s="2" t="s">
        <v>233</v>
      </c>
      <c r="D72" s="13" t="n">
        <v>8</v>
      </c>
      <c r="E72" s="13" t="n">
        <v>12</v>
      </c>
      <c r="F72" s="13" t="n">
        <v>15</v>
      </c>
      <c r="L72" s="2" t="s">
        <v>234</v>
      </c>
    </row>
    <row r="73" customFormat="false" ht="15" hidden="false" customHeight="false" outlineLevel="0" collapsed="false">
      <c r="A73" s="11" t="s">
        <v>235</v>
      </c>
      <c r="B73" s="3" t="s">
        <v>236</v>
      </c>
      <c r="C73" s="2" t="s">
        <v>233</v>
      </c>
      <c r="D73" s="13" t="n">
        <v>5</v>
      </c>
      <c r="E73" s="13" t="n">
        <v>10</v>
      </c>
      <c r="F73" s="13" t="n">
        <v>15</v>
      </c>
      <c r="L73" s="2" t="s">
        <v>237</v>
      </c>
    </row>
    <row r="74" customFormat="false" ht="15" hidden="false" customHeight="false" outlineLevel="0" collapsed="false">
      <c r="A74" s="11" t="s">
        <v>238</v>
      </c>
      <c r="B74" s="3" t="s">
        <v>239</v>
      </c>
      <c r="C74" s="2" t="s">
        <v>39</v>
      </c>
      <c r="D74" s="13" t="n">
        <v>10</v>
      </c>
      <c r="E74" s="13" t="n">
        <v>6</v>
      </c>
      <c r="F74" s="13" t="n">
        <v>4</v>
      </c>
      <c r="L74" s="2" t="s">
        <v>98</v>
      </c>
    </row>
    <row r="75" customFormat="false" ht="15" hidden="false" customHeight="false" outlineLevel="0" collapsed="false">
      <c r="A75" s="11" t="s">
        <v>240</v>
      </c>
      <c r="B75" s="3" t="s">
        <v>241</v>
      </c>
      <c r="C75" s="2" t="s">
        <v>242</v>
      </c>
      <c r="D75" s="18" t="n">
        <v>2</v>
      </c>
      <c r="E75" s="18" t="n">
        <v>1</v>
      </c>
      <c r="F75" s="18" t="n">
        <v>0.5</v>
      </c>
      <c r="L75" s="2" t="s">
        <v>243</v>
      </c>
    </row>
    <row r="77" customFormat="false" ht="15" hidden="false" customHeight="false" outlineLevel="0" collapsed="false">
      <c r="A77" s="9" t="s">
        <v>244</v>
      </c>
      <c r="B77" s="10"/>
      <c r="C77" s="10"/>
      <c r="D77" s="10"/>
      <c r="E77" s="10"/>
      <c r="F77" s="10"/>
      <c r="G77" s="10"/>
      <c r="H77" s="10"/>
      <c r="I77" s="10"/>
      <c r="J77" s="10"/>
      <c r="K77" s="10"/>
      <c r="L77" s="10"/>
    </row>
    <row r="78" customFormat="false" ht="15" hidden="false" customHeight="false" outlineLevel="0" collapsed="false">
      <c r="B78" s="19" t="s">
        <v>245</v>
      </c>
      <c r="D78" s="20" t="s">
        <v>246</v>
      </c>
      <c r="E78" s="20" t="s">
        <v>247</v>
      </c>
      <c r="F78" s="20" t="s">
        <v>248</v>
      </c>
      <c r="G78" s="20" t="s">
        <v>249</v>
      </c>
      <c r="H78" s="20" t="s">
        <v>250</v>
      </c>
      <c r="I78" s="20" t="s">
        <v>251</v>
      </c>
      <c r="J78" s="20" t="s">
        <v>252</v>
      </c>
      <c r="K78" s="20" t="s">
        <v>253</v>
      </c>
    </row>
    <row r="79" customFormat="false" ht="23.85" hidden="false" customHeight="false" outlineLevel="0" collapsed="false">
      <c r="A79" s="11" t="s">
        <v>254</v>
      </c>
      <c r="B79" s="3" t="s">
        <v>255</v>
      </c>
      <c r="C79" s="11" t="s">
        <v>256</v>
      </c>
      <c r="D79" s="14" t="n">
        <v>0.02</v>
      </c>
      <c r="E79" s="14" t="n">
        <v>0.06</v>
      </c>
      <c r="F79" s="14" t="n">
        <v>0.12</v>
      </c>
      <c r="G79" s="14" t="n">
        <v>0.2</v>
      </c>
      <c r="H79" s="14" t="n">
        <v>0.3</v>
      </c>
      <c r="I79" s="14" t="n">
        <v>0.4</v>
      </c>
      <c r="J79" s="14" t="n">
        <v>0.5</v>
      </c>
      <c r="K79" s="14" t="n">
        <v>0.6</v>
      </c>
      <c r="L79" s="2" t="s">
        <v>257</v>
      </c>
    </row>
    <row r="80" customFormat="false" ht="15" hidden="false" customHeight="false" outlineLevel="0" collapsed="false">
      <c r="A80" s="11" t="s">
        <v>258</v>
      </c>
      <c r="B80" s="3" t="s">
        <v>259</v>
      </c>
      <c r="C80" s="11" t="s">
        <v>260</v>
      </c>
      <c r="D80" s="14" t="n">
        <v>0.05</v>
      </c>
      <c r="E80" s="14" t="n">
        <v>0.15</v>
      </c>
      <c r="F80" s="14" t="n">
        <v>0.3</v>
      </c>
      <c r="G80" s="14" t="n">
        <v>0.45</v>
      </c>
      <c r="H80" s="14" t="n">
        <v>0.6</v>
      </c>
      <c r="I80" s="14" t="n">
        <v>0.7</v>
      </c>
      <c r="J80" s="14" t="n">
        <v>0.8</v>
      </c>
      <c r="K80" s="14" t="n">
        <v>0.85</v>
      </c>
      <c r="L80" s="2" t="s">
        <v>261</v>
      </c>
    </row>
    <row r="81" customFormat="false" ht="15" hidden="false" customHeight="false" outlineLevel="0" collapsed="false">
      <c r="A81" s="11" t="s">
        <v>262</v>
      </c>
      <c r="B81" s="3" t="s">
        <v>263</v>
      </c>
      <c r="C81" s="11" t="s">
        <v>256</v>
      </c>
      <c r="D81" s="14" t="n">
        <v>0</v>
      </c>
      <c r="E81" s="14" t="n">
        <v>0.05</v>
      </c>
      <c r="F81" s="14" t="n">
        <v>0.15</v>
      </c>
      <c r="G81" s="14" t="n">
        <v>0.25</v>
      </c>
      <c r="H81" s="14" t="n">
        <v>0.35</v>
      </c>
      <c r="I81" s="14" t="n">
        <v>0.45</v>
      </c>
      <c r="J81" s="14" t="n">
        <v>0.55</v>
      </c>
      <c r="K81" s="14" t="n">
        <v>0.6</v>
      </c>
      <c r="L81" s="2" t="s">
        <v>264</v>
      </c>
    </row>
    <row r="83" customFormat="false" ht="15" hidden="false" customHeight="false" outlineLevel="0" collapsed="false">
      <c r="A83" s="9" t="s">
        <v>265</v>
      </c>
      <c r="B83" s="10"/>
      <c r="C83" s="10"/>
      <c r="D83" s="10"/>
      <c r="E83" s="10"/>
      <c r="F83" s="10"/>
      <c r="G83" s="10"/>
      <c r="H83" s="10"/>
      <c r="I83" s="10"/>
      <c r="J83" s="10"/>
      <c r="K83" s="10"/>
      <c r="L83" s="10"/>
    </row>
    <row r="84" customFormat="false" ht="15" hidden="false" customHeight="false" outlineLevel="0" collapsed="false">
      <c r="B84" s="21" t="s">
        <v>266</v>
      </c>
      <c r="D84" s="22" t="str">
        <f aca="false">IF(ABS(D19+D20+D21+D22-1)&lt;0.0001,"OK","CHECK")</f>
        <v>OK</v>
      </c>
      <c r="E84" s="22" t="str">
        <f aca="false">IF(ABS(E19+E20+E21+E22-1)&lt;0.0001,"OK","CHECK")</f>
        <v>OK</v>
      </c>
      <c r="F84" s="22" t="str">
        <f aca="false">IF(ABS(F19+F20+F21+F22-1)&lt;0.0001,"OK","CHECK")</f>
        <v>OK</v>
      </c>
    </row>
    <row r="85" customFormat="false" ht="15" hidden="false" customHeight="false" outlineLevel="0" collapsed="false">
      <c r="B85" s="21" t="s">
        <v>267</v>
      </c>
      <c r="D85" s="22" t="str">
        <f aca="false">IF(D17*D18&lt;=D14,"OK","CHECK")</f>
        <v>OK</v>
      </c>
      <c r="E85" s="22" t="str">
        <f aca="false">IF(E17*E18&lt;=E14,"OK","CHECK")</f>
        <v>OK</v>
      </c>
      <c r="F85" s="22" t="str">
        <f aca="false">IF(F17*F18&lt;=F14,"OK","CHECK")</f>
        <v>OK</v>
      </c>
    </row>
    <row r="87" customFormat="false" ht="15" hidden="false" customHeight="false" outlineLevel="0" collapsed="false">
      <c r="A87" s="9" t="s">
        <v>268</v>
      </c>
      <c r="B87" s="10"/>
      <c r="C87" s="10"/>
      <c r="D87" s="10"/>
      <c r="E87" s="10"/>
      <c r="F87" s="10"/>
      <c r="G87" s="10"/>
      <c r="H87" s="10"/>
      <c r="I87" s="10"/>
      <c r="J87" s="10"/>
      <c r="K87" s="10"/>
      <c r="L87" s="10"/>
    </row>
    <row r="88" customFormat="false" ht="25.5" hidden="false" customHeight="true" outlineLevel="0" collapsed="false">
      <c r="A88" s="11" t="s">
        <v>269</v>
      </c>
      <c r="B88" s="23" t="s">
        <v>270</v>
      </c>
      <c r="C88" s="23"/>
      <c r="D88" s="23"/>
      <c r="E88" s="23"/>
      <c r="F88" s="23"/>
      <c r="G88" s="23"/>
      <c r="H88" s="23"/>
      <c r="I88" s="23"/>
      <c r="J88" s="23"/>
      <c r="K88" s="23"/>
      <c r="L88" s="23"/>
    </row>
    <row r="89" customFormat="false" ht="25.5" hidden="false" customHeight="true" outlineLevel="0" collapsed="false">
      <c r="A89" s="11" t="s">
        <v>271</v>
      </c>
      <c r="B89" s="23" t="s">
        <v>272</v>
      </c>
      <c r="C89" s="23"/>
      <c r="D89" s="23"/>
      <c r="E89" s="23"/>
      <c r="F89" s="23"/>
      <c r="G89" s="23"/>
      <c r="H89" s="23"/>
      <c r="I89" s="23"/>
      <c r="J89" s="23"/>
      <c r="K89" s="23"/>
      <c r="L89" s="23"/>
    </row>
    <row r="90" customFormat="false" ht="25.5" hidden="false" customHeight="true" outlineLevel="0" collapsed="false">
      <c r="A90" s="11" t="s">
        <v>273</v>
      </c>
      <c r="B90" s="23" t="s">
        <v>274</v>
      </c>
      <c r="C90" s="23"/>
      <c r="D90" s="23"/>
      <c r="E90" s="23"/>
      <c r="F90" s="23"/>
      <c r="G90" s="23"/>
      <c r="H90" s="23"/>
      <c r="I90" s="23"/>
      <c r="J90" s="23"/>
      <c r="K90" s="23"/>
      <c r="L90" s="23"/>
    </row>
    <row r="91" customFormat="false" ht="25.5" hidden="false" customHeight="true" outlineLevel="0" collapsed="false">
      <c r="A91" s="11" t="s">
        <v>275</v>
      </c>
      <c r="B91" s="23" t="s">
        <v>276</v>
      </c>
      <c r="C91" s="23"/>
      <c r="D91" s="23"/>
      <c r="E91" s="23"/>
      <c r="F91" s="23"/>
      <c r="G91" s="23"/>
      <c r="H91" s="23"/>
      <c r="I91" s="23"/>
      <c r="J91" s="23"/>
      <c r="K91" s="23"/>
      <c r="L91" s="23"/>
    </row>
    <row r="92" customFormat="false" ht="25.5" hidden="false" customHeight="true" outlineLevel="0" collapsed="false">
      <c r="A92" s="11" t="s">
        <v>277</v>
      </c>
      <c r="B92" s="23" t="s">
        <v>278</v>
      </c>
      <c r="C92" s="23"/>
      <c r="D92" s="23"/>
      <c r="E92" s="23"/>
      <c r="F92" s="23"/>
      <c r="G92" s="23"/>
      <c r="H92" s="23"/>
      <c r="I92" s="23"/>
      <c r="J92" s="23"/>
      <c r="K92" s="23"/>
      <c r="L92" s="23"/>
    </row>
    <row r="93" customFormat="false" ht="25.5" hidden="false" customHeight="true" outlineLevel="0" collapsed="false">
      <c r="A93" s="11" t="s">
        <v>279</v>
      </c>
      <c r="B93" s="23" t="s">
        <v>280</v>
      </c>
      <c r="C93" s="23"/>
      <c r="D93" s="23"/>
      <c r="E93" s="23"/>
      <c r="F93" s="23"/>
      <c r="G93" s="23"/>
      <c r="H93" s="23"/>
      <c r="I93" s="23"/>
      <c r="J93" s="23"/>
      <c r="K93" s="23"/>
      <c r="L93" s="23"/>
    </row>
    <row r="94" customFormat="false" ht="25.5" hidden="false" customHeight="true" outlineLevel="0" collapsed="false">
      <c r="A94" s="11" t="s">
        <v>281</v>
      </c>
      <c r="B94" s="23" t="s">
        <v>282</v>
      </c>
      <c r="C94" s="23"/>
      <c r="D94" s="23"/>
      <c r="E94" s="23"/>
      <c r="F94" s="23"/>
      <c r="G94" s="23"/>
      <c r="H94" s="23"/>
      <c r="I94" s="23"/>
      <c r="J94" s="23"/>
      <c r="K94" s="23"/>
      <c r="L94" s="23"/>
    </row>
    <row r="95" customFormat="false" ht="25.5" hidden="false" customHeight="true" outlineLevel="0" collapsed="false">
      <c r="A95" s="11" t="s">
        <v>283</v>
      </c>
      <c r="B95" s="23" t="s">
        <v>284</v>
      </c>
      <c r="C95" s="23"/>
      <c r="D95" s="23"/>
      <c r="E95" s="23"/>
      <c r="F95" s="23"/>
      <c r="G95" s="23"/>
      <c r="H95" s="23"/>
      <c r="I95" s="23"/>
      <c r="J95" s="23"/>
      <c r="K95" s="23"/>
      <c r="L95" s="23"/>
    </row>
  </sheetData>
  <mergeCells count="8">
    <mergeCell ref="B88:L88"/>
    <mergeCell ref="B89:L89"/>
    <mergeCell ref="B90:L90"/>
    <mergeCell ref="B91:L91"/>
    <mergeCell ref="B92:L92"/>
    <mergeCell ref="B93:L93"/>
    <mergeCell ref="B94:L94"/>
    <mergeCell ref="B95:L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5"/>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17"/>
    <col collapsed="false" customWidth="true" hidden="false" outlineLevel="0" max="8" min="8" style="0" width="16"/>
    <col collapsed="false" customWidth="true" hidden="false" outlineLevel="0" max="9" min="9" style="0" width="80"/>
  </cols>
  <sheetData>
    <row r="1" customFormat="false" ht="16.15" hidden="false" customHeight="false" outlineLevel="0" collapsed="false">
      <c r="A1" s="5" t="s">
        <v>285</v>
      </c>
    </row>
    <row r="2" customFormat="false" ht="15" hidden="false" customHeight="false" outlineLevel="0" collapsed="false">
      <c r="A2" s="6" t="s">
        <v>286</v>
      </c>
    </row>
    <row r="4" customFormat="false" ht="35.05" hidden="false" customHeight="false" outlineLevel="0" collapsed="false">
      <c r="A4" s="7" t="s">
        <v>287</v>
      </c>
      <c r="B4" s="7" t="s">
        <v>245</v>
      </c>
      <c r="C4" s="7" t="s">
        <v>288</v>
      </c>
      <c r="D4" s="7" t="s">
        <v>289</v>
      </c>
      <c r="E4" s="7" t="s">
        <v>290</v>
      </c>
      <c r="F4" s="7" t="s">
        <v>291</v>
      </c>
      <c r="G4" s="7" t="s">
        <v>292</v>
      </c>
      <c r="H4" s="7" t="s">
        <v>293</v>
      </c>
      <c r="I4" s="7" t="s">
        <v>294</v>
      </c>
    </row>
    <row r="5" customFormat="false" ht="23.85" hidden="false" customHeight="false" outlineLevel="0" collapsed="false">
      <c r="A5" s="24" t="n">
        <v>1</v>
      </c>
      <c r="B5" s="21" t="s">
        <v>295</v>
      </c>
      <c r="C5" s="11" t="s">
        <v>296</v>
      </c>
      <c r="D5" s="11" t="s">
        <v>297</v>
      </c>
      <c r="E5" s="25" t="n">
        <v>4.5</v>
      </c>
      <c r="H5" s="25" t="n">
        <v>1.12</v>
      </c>
      <c r="I5" s="2" t="s">
        <v>298</v>
      </c>
    </row>
    <row r="6" customFormat="false" ht="15" hidden="false" customHeight="false" outlineLevel="0" collapsed="false">
      <c r="A6" s="24" t="n">
        <v>2</v>
      </c>
      <c r="B6" s="21" t="s">
        <v>299</v>
      </c>
      <c r="C6" s="11" t="s">
        <v>300</v>
      </c>
      <c r="D6" s="11" t="s">
        <v>297</v>
      </c>
      <c r="E6" s="25" t="n">
        <v>5</v>
      </c>
      <c r="H6" s="25" t="n">
        <v>1.17</v>
      </c>
      <c r="I6" s="2" t="s">
        <v>301</v>
      </c>
    </row>
    <row r="7" customFormat="false" ht="15" hidden="false" customHeight="false" outlineLevel="0" collapsed="false">
      <c r="A7" s="24" t="n">
        <v>3</v>
      </c>
      <c r="B7" s="21" t="s">
        <v>302</v>
      </c>
      <c r="C7" s="11" t="s">
        <v>303</v>
      </c>
      <c r="D7" s="11" t="s">
        <v>297</v>
      </c>
      <c r="E7" s="25" t="n">
        <v>5.1</v>
      </c>
      <c r="H7" s="25" t="n">
        <v>1.24</v>
      </c>
      <c r="I7" s="2" t="s">
        <v>304</v>
      </c>
    </row>
    <row r="8" customFormat="false" ht="15" hidden="false" customHeight="false" outlineLevel="0" collapsed="false">
      <c r="A8" s="24" t="n">
        <v>4</v>
      </c>
      <c r="B8" s="21" t="s">
        <v>305</v>
      </c>
      <c r="C8" s="11" t="s">
        <v>306</v>
      </c>
      <c r="D8" s="11" t="s">
        <v>297</v>
      </c>
      <c r="E8" s="25" t="n">
        <v>5.4</v>
      </c>
      <c r="H8" s="25" t="n">
        <v>1.3</v>
      </c>
      <c r="I8" s="2" t="s">
        <v>307</v>
      </c>
    </row>
    <row r="9" customFormat="false" ht="15" hidden="false" customHeight="false" outlineLevel="0" collapsed="false">
      <c r="A9" s="24" t="n">
        <v>5</v>
      </c>
      <c r="B9" s="21" t="s">
        <v>308</v>
      </c>
      <c r="C9" s="11" t="s">
        <v>309</v>
      </c>
      <c r="D9" s="11" t="s">
        <v>297</v>
      </c>
      <c r="E9" s="25" t="n">
        <v>5.67</v>
      </c>
      <c r="F9" s="26" t="n">
        <f aca="false">E9/E5-1</f>
        <v>0.26</v>
      </c>
      <c r="H9" s="25" t="n">
        <v>1.37</v>
      </c>
      <c r="I9" s="2" t="s">
        <v>310</v>
      </c>
    </row>
    <row r="10" customFormat="false" ht="15" hidden="false" customHeight="false" outlineLevel="0" collapsed="false">
      <c r="A10" s="24" t="n">
        <v>6</v>
      </c>
      <c r="B10" s="21" t="s">
        <v>311</v>
      </c>
      <c r="C10" s="11" t="s">
        <v>312</v>
      </c>
      <c r="D10" s="11" t="s">
        <v>297</v>
      </c>
      <c r="E10" s="25" t="n">
        <v>6.2</v>
      </c>
      <c r="F10" s="26" t="n">
        <f aca="false">E10/E6-1</f>
        <v>0.24</v>
      </c>
      <c r="H10" s="25" t="n">
        <v>1.44</v>
      </c>
      <c r="I10" s="2" t="s">
        <v>313</v>
      </c>
    </row>
    <row r="11" customFormat="false" ht="15" hidden="false" customHeight="false" outlineLevel="0" collapsed="false">
      <c r="A11" s="24" t="n">
        <v>7</v>
      </c>
      <c r="B11" s="21" t="s">
        <v>314</v>
      </c>
      <c r="C11" s="11" t="s">
        <v>315</v>
      </c>
      <c r="D11" s="11" t="s">
        <v>297</v>
      </c>
      <c r="E11" s="25" t="n">
        <v>6.5</v>
      </c>
      <c r="F11" s="26" t="n">
        <f aca="false">E11/E7-1</f>
        <v>0.274509803921569</v>
      </c>
      <c r="H11" s="25" t="n">
        <v>1.51</v>
      </c>
      <c r="I11" s="2" t="s">
        <v>316</v>
      </c>
    </row>
    <row r="12" customFormat="false" ht="15" hidden="false" customHeight="false" outlineLevel="0" collapsed="false">
      <c r="A12" s="24" t="n">
        <v>8</v>
      </c>
      <c r="B12" s="21" t="s">
        <v>317</v>
      </c>
      <c r="C12" s="11" t="s">
        <v>318</v>
      </c>
      <c r="D12" s="11" t="s">
        <v>297</v>
      </c>
      <c r="E12" s="25" t="n">
        <v>7.1</v>
      </c>
      <c r="F12" s="26" t="n">
        <f aca="false">E12/E8-1</f>
        <v>0.314814814814815</v>
      </c>
      <c r="H12" s="25" t="n">
        <v>1.57</v>
      </c>
      <c r="I12" s="2" t="s">
        <v>319</v>
      </c>
    </row>
    <row r="13" customFormat="false" ht="15" hidden="false" customHeight="false" outlineLevel="0" collapsed="false">
      <c r="A13" s="24" t="n">
        <v>9</v>
      </c>
      <c r="B13" s="21" t="s">
        <v>320</v>
      </c>
      <c r="C13" s="11" t="s">
        <v>321</v>
      </c>
      <c r="D13" s="11" t="s">
        <v>322</v>
      </c>
      <c r="E13" s="27" t="n">
        <f aca="false">FORECAST(A13,$E$5:$E$12,$A$5:$A$12)</f>
        <v>7.25178571428571</v>
      </c>
      <c r="F13" s="26" t="n">
        <f aca="false">E13/E9-1</f>
        <v>0.278974552784077</v>
      </c>
      <c r="G13" s="27" t="n">
        <f aca="false">GROWTH($E$5:$E$12,$A$5:$A$12,A13)</f>
        <v>7.41039763320086</v>
      </c>
      <c r="H13" s="27" t="n">
        <f aca="false">FORECAST(A13,$H$5:$H$12,$A$5:$A$12)</f>
        <v>1.63571428571429</v>
      </c>
      <c r="I13" s="11" t="s">
        <v>323</v>
      </c>
    </row>
    <row r="14" customFormat="false" ht="15" hidden="false" customHeight="false" outlineLevel="0" collapsed="false">
      <c r="A14" s="24" t="n">
        <v>10</v>
      </c>
      <c r="B14" s="21" t="s">
        <v>324</v>
      </c>
      <c r="C14" s="11" t="s">
        <v>325</v>
      </c>
      <c r="D14" s="11" t="s">
        <v>322</v>
      </c>
      <c r="E14" s="27" t="n">
        <f aca="false">FORECAST(A14,$E$5:$E$12,$A$5:$A$12)</f>
        <v>7.6002380952381</v>
      </c>
      <c r="F14" s="26" t="n">
        <f aca="false">E14/E10-1</f>
        <v>0.225844854070661</v>
      </c>
      <c r="G14" s="27" t="n">
        <f aca="false">GROWTH($E$5:$E$12,$A$5:$A$12,A14)</f>
        <v>7.8778783042268</v>
      </c>
      <c r="H14" s="27" t="n">
        <f aca="false">FORECAST(A14,$H$5:$H$12,$A$5:$A$12)</f>
        <v>1.70142857142857</v>
      </c>
      <c r="I14" s="11" t="s">
        <v>326</v>
      </c>
    </row>
    <row r="15" customFormat="false" ht="15" hidden="false" customHeight="false" outlineLevel="0" collapsed="false">
      <c r="A15" s="28" t="n">
        <v>11</v>
      </c>
      <c r="B15" s="29" t="s">
        <v>246</v>
      </c>
      <c r="C15" s="30" t="s">
        <v>327</v>
      </c>
      <c r="D15" s="30" t="s">
        <v>322</v>
      </c>
      <c r="E15" s="31" t="n">
        <f aca="false">FORECAST(A15,$E$5:$E$12,$A$5:$A$12)</f>
        <v>7.94869047619048</v>
      </c>
      <c r="F15" s="32" t="n">
        <f aca="false">E15/E11-1</f>
        <v>0.222875457875458</v>
      </c>
      <c r="G15" s="31" t="n">
        <f aca="false">GROWTH($E$5:$E$12,$A$5:$A$12,A15)</f>
        <v>8.37484972441358</v>
      </c>
      <c r="H15" s="31" t="n">
        <f aca="false">FORECAST(A15,$H$5:$H$12,$A$5:$A$12)</f>
        <v>1.76714285714286</v>
      </c>
      <c r="I15" s="11" t="s">
        <v>328</v>
      </c>
    </row>
    <row r="16" customFormat="false" ht="15" hidden="false" customHeight="false" outlineLevel="0" collapsed="false">
      <c r="A16" s="28" t="n">
        <v>12</v>
      </c>
      <c r="B16" s="29" t="s">
        <v>247</v>
      </c>
      <c r="C16" s="30" t="s">
        <v>329</v>
      </c>
      <c r="D16" s="30" t="s">
        <v>322</v>
      </c>
      <c r="E16" s="31" t="n">
        <f aca="false">FORECAST(A16,$E$5:$E$12,$A$5:$A$12)</f>
        <v>8.29714285714286</v>
      </c>
      <c r="F16" s="32" t="n">
        <f aca="false">E16/E12-1</f>
        <v>0.168611670020121</v>
      </c>
      <c r="G16" s="31" t="n">
        <f aca="false">GROWTH($E$5:$E$12,$A$5:$A$12,A16)</f>
        <v>8.90317230070416</v>
      </c>
      <c r="H16" s="31" t="n">
        <f aca="false">FORECAST(A16,$H$5:$H$12,$A$5:$A$12)</f>
        <v>1.83285714285714</v>
      </c>
      <c r="I16" s="11" t="s">
        <v>328</v>
      </c>
    </row>
    <row r="17" customFormat="false" ht="15" hidden="false" customHeight="false" outlineLevel="0" collapsed="false">
      <c r="A17" s="28" t="n">
        <v>13</v>
      </c>
      <c r="B17" s="29" t="s">
        <v>248</v>
      </c>
      <c r="C17" s="30" t="s">
        <v>330</v>
      </c>
      <c r="D17" s="30" t="s">
        <v>322</v>
      </c>
      <c r="E17" s="31" t="n">
        <f aca="false">FORECAST(A17,$E$5:$E$12,$A$5:$A$12)</f>
        <v>8.64559523809524</v>
      </c>
      <c r="F17" s="32" t="n">
        <f aca="false">E17/E13-1</f>
        <v>0.192202249035541</v>
      </c>
      <c r="G17" s="31" t="n">
        <f aca="false">GROWTH($E$5:$E$12,$A$5:$A$12,A17)</f>
        <v>9.46482380274306</v>
      </c>
      <c r="H17" s="31" t="n">
        <f aca="false">FORECAST(A17,$H$5:$H$12,$A$5:$A$12)</f>
        <v>1.89857142857143</v>
      </c>
      <c r="I17" s="11" t="s">
        <v>328</v>
      </c>
    </row>
    <row r="18" customFormat="false" ht="15" hidden="false" customHeight="false" outlineLevel="0" collapsed="false">
      <c r="A18" s="28" t="n">
        <v>14</v>
      </c>
      <c r="B18" s="29" t="s">
        <v>249</v>
      </c>
      <c r="C18" s="30" t="s">
        <v>331</v>
      </c>
      <c r="D18" s="30" t="s">
        <v>322</v>
      </c>
      <c r="E18" s="31" t="n">
        <f aca="false">FORECAST(A18,$E$5:$E$12,$A$5:$A$12)</f>
        <v>8.99404761904762</v>
      </c>
      <c r="F18" s="32" t="n">
        <f aca="false">E18/E14-1</f>
        <v>0.18339024466652</v>
      </c>
      <c r="G18" s="31" t="n">
        <f aca="false">GROWTH($E$5:$E$12,$A$5:$A$12,A18)</f>
        <v>10.0619067666349</v>
      </c>
      <c r="H18" s="31" t="n">
        <f aca="false">FORECAST(A18,$H$5:$H$12,$A$5:$A$12)</f>
        <v>1.96428571428571</v>
      </c>
      <c r="I18" s="11" t="s">
        <v>328</v>
      </c>
    </row>
    <row r="19" customFormat="false" ht="15" hidden="false" customHeight="false" outlineLevel="0" collapsed="false">
      <c r="A19" s="28" t="n">
        <v>15</v>
      </c>
      <c r="B19" s="29" t="s">
        <v>250</v>
      </c>
      <c r="C19" s="30" t="s">
        <v>332</v>
      </c>
      <c r="D19" s="30" t="s">
        <v>322</v>
      </c>
      <c r="E19" s="31" t="n">
        <f aca="false">FORECAST(A19,$E$5:$E$12,$A$5:$A$12)</f>
        <v>9.3425</v>
      </c>
      <c r="F19" s="32" t="n">
        <f aca="false">E19/E15-1</f>
        <v>0.175350836466025</v>
      </c>
      <c r="G19" s="31" t="n">
        <f aca="false">GROWTH($E$5:$E$12,$A$5:$A$12,A19)</f>
        <v>10.6966563657647</v>
      </c>
      <c r="H19" s="31" t="n">
        <f aca="false">FORECAST(A19,$H$5:$H$12,$A$5:$A$12)</f>
        <v>2.03</v>
      </c>
      <c r="I19" s="11" t="s">
        <v>328</v>
      </c>
    </row>
    <row r="20" customFormat="false" ht="15" hidden="false" customHeight="false" outlineLevel="0" collapsed="false">
      <c r="A20" s="28" t="n">
        <v>16</v>
      </c>
      <c r="B20" s="29" t="s">
        <v>251</v>
      </c>
      <c r="C20" s="30" t="s">
        <v>333</v>
      </c>
      <c r="D20" s="30" t="s">
        <v>322</v>
      </c>
      <c r="E20" s="31" t="n">
        <f aca="false">FORECAST(A20,$E$5:$E$12,$A$5:$A$12)</f>
        <v>9.69095238095238</v>
      </c>
      <c r="F20" s="32" t="n">
        <f aca="false">E20/E16-1</f>
        <v>0.16798668503214</v>
      </c>
      <c r="G20" s="31" t="n">
        <f aca="false">GROWTH($E$5:$E$12,$A$5:$A$12,A20)</f>
        <v>11.3714487781446</v>
      </c>
      <c r="H20" s="31" t="n">
        <f aca="false">FORECAST(A20,$H$5:$H$12,$A$5:$A$12)</f>
        <v>2.09571428571429</v>
      </c>
      <c r="I20" s="11" t="s">
        <v>328</v>
      </c>
    </row>
    <row r="21" customFormat="false" ht="15" hidden="false" customHeight="false" outlineLevel="0" collapsed="false">
      <c r="A21" s="28" t="n">
        <v>17</v>
      </c>
      <c r="B21" s="29" t="s">
        <v>252</v>
      </c>
      <c r="C21" s="30" t="s">
        <v>334</v>
      </c>
      <c r="D21" s="30" t="s">
        <v>322</v>
      </c>
      <c r="E21" s="31" t="n">
        <f aca="false">FORECAST(A21,$E$5:$E$12,$A$5:$A$12)</f>
        <v>10.0394047619048</v>
      </c>
      <c r="F21" s="32" t="n">
        <f aca="false">E21/E17-1</f>
        <v>0.161216143645953</v>
      </c>
      <c r="G21" s="31" t="n">
        <f aca="false">GROWTH($E$5:$E$12,$A$5:$A$12,A21)</f>
        <v>12.0888100816092</v>
      </c>
      <c r="H21" s="31" t="n">
        <f aca="false">FORECAST(A21,$H$5:$H$12,$A$5:$A$12)</f>
        <v>2.16142857142857</v>
      </c>
      <c r="I21" s="11" t="s">
        <v>328</v>
      </c>
    </row>
    <row r="22" customFormat="false" ht="15" hidden="false" customHeight="false" outlineLevel="0" collapsed="false">
      <c r="A22" s="28" t="n">
        <v>18</v>
      </c>
      <c r="B22" s="29" t="s">
        <v>253</v>
      </c>
      <c r="C22" s="30" t="s">
        <v>335</v>
      </c>
      <c r="D22" s="30" t="s">
        <v>322</v>
      </c>
      <c r="E22" s="31" t="n">
        <f aca="false">FORECAST(A22,$E$5:$E$12,$A$5:$A$12)</f>
        <v>10.3878571428571</v>
      </c>
      <c r="F22" s="32" t="n">
        <f aca="false">E22/E18-1</f>
        <v>0.154970218398412</v>
      </c>
      <c r="G22" s="31" t="n">
        <f aca="false">GROWTH($E$5:$E$12,$A$5:$A$12,A22)</f>
        <v>12.8514257101601</v>
      </c>
      <c r="H22" s="31" t="n">
        <f aca="false">FORECAST(A22,$H$5:$H$12,$A$5:$A$12)</f>
        <v>2.22714285714286</v>
      </c>
      <c r="I22" s="11" t="s">
        <v>328</v>
      </c>
    </row>
    <row r="25" customFormat="false" ht="15" hidden="false" customHeight="false" outlineLevel="0" collapsed="false">
      <c r="A25" s="9" t="s">
        <v>336</v>
      </c>
      <c r="B25" s="10"/>
      <c r="C25" s="10"/>
      <c r="D25" s="10"/>
      <c r="E25" s="10"/>
      <c r="F25" s="10"/>
      <c r="G25" s="10"/>
      <c r="H25" s="10"/>
      <c r="I25" s="10"/>
    </row>
    <row r="26" customFormat="false" ht="25.5" hidden="false" customHeight="true" outlineLevel="0" collapsed="false">
      <c r="B26" s="23" t="s">
        <v>337</v>
      </c>
      <c r="C26" s="23"/>
      <c r="D26" s="33" t="s">
        <v>338</v>
      </c>
      <c r="E26" s="33"/>
      <c r="F26" s="34" t="n">
        <v>2448</v>
      </c>
      <c r="I26" s="2" t="s">
        <v>339</v>
      </c>
    </row>
    <row r="27" customFormat="false" ht="25.5" hidden="false" customHeight="true" outlineLevel="0" collapsed="false">
      <c r="B27" s="23" t="s">
        <v>340</v>
      </c>
      <c r="C27" s="23"/>
      <c r="D27" s="33" t="s">
        <v>338</v>
      </c>
      <c r="E27" s="33"/>
      <c r="F27" s="34" t="n">
        <v>1350</v>
      </c>
      <c r="I27" s="2" t="s">
        <v>341</v>
      </c>
    </row>
    <row r="28" customFormat="false" ht="25.5" hidden="false" customHeight="true" outlineLevel="0" collapsed="false">
      <c r="B28" s="23" t="s">
        <v>342</v>
      </c>
      <c r="C28" s="23"/>
      <c r="D28" s="33" t="s">
        <v>343</v>
      </c>
      <c r="E28" s="33"/>
      <c r="F28" s="35" t="n">
        <v>0.55</v>
      </c>
      <c r="I28" s="2" t="s">
        <v>344</v>
      </c>
    </row>
    <row r="29" customFormat="false" ht="25.5" hidden="false" customHeight="true" outlineLevel="0" collapsed="false">
      <c r="B29" s="23" t="s">
        <v>345</v>
      </c>
      <c r="C29" s="23"/>
      <c r="D29" s="33" t="s">
        <v>338</v>
      </c>
      <c r="E29" s="33"/>
      <c r="F29" s="34" t="n">
        <v>203</v>
      </c>
      <c r="I29" s="2" t="s">
        <v>346</v>
      </c>
    </row>
    <row r="30" customFormat="false" ht="25.5" hidden="false" customHeight="true" outlineLevel="0" collapsed="false">
      <c r="B30" s="23" t="s">
        <v>347</v>
      </c>
      <c r="C30" s="23"/>
      <c r="D30" s="33" t="s">
        <v>338</v>
      </c>
      <c r="E30" s="33"/>
      <c r="F30" s="34" t="n">
        <v>220</v>
      </c>
      <c r="I30" s="2" t="s">
        <v>348</v>
      </c>
    </row>
    <row r="31" customFormat="false" ht="25.5" hidden="false" customHeight="true" outlineLevel="0" collapsed="false">
      <c r="B31" s="23" t="s">
        <v>349</v>
      </c>
      <c r="C31" s="23"/>
      <c r="D31" s="33" t="s">
        <v>338</v>
      </c>
      <c r="E31" s="33"/>
      <c r="F31" s="34" t="n">
        <v>814</v>
      </c>
      <c r="I31" s="2" t="s">
        <v>350</v>
      </c>
    </row>
    <row r="32" customFormat="false" ht="25.5" hidden="false" customHeight="true" outlineLevel="0" collapsed="false">
      <c r="B32" s="23" t="s">
        <v>351</v>
      </c>
      <c r="C32" s="23"/>
      <c r="D32" s="33" t="s">
        <v>338</v>
      </c>
      <c r="E32" s="33"/>
      <c r="F32" s="34" t="n">
        <v>601</v>
      </c>
      <c r="I32" s="2" t="s">
        <v>319</v>
      </c>
    </row>
    <row r="33" customFormat="false" ht="25.5" hidden="false" customHeight="true" outlineLevel="0" collapsed="false">
      <c r="B33" s="23" t="s">
        <v>352</v>
      </c>
      <c r="C33" s="23"/>
      <c r="D33" s="33" t="s">
        <v>353</v>
      </c>
      <c r="E33" s="33"/>
      <c r="F33" s="36" t="n">
        <f aca="false">F32/(E12*100000)*10000</f>
        <v>8.46478873239437</v>
      </c>
      <c r="I33" s="2" t="s">
        <v>354</v>
      </c>
    </row>
    <row r="34" customFormat="false" ht="25.5" hidden="false" customHeight="true" outlineLevel="0" collapsed="false">
      <c r="B34" s="23" t="s">
        <v>355</v>
      </c>
      <c r="C34" s="23"/>
      <c r="D34" s="33" t="s">
        <v>353</v>
      </c>
      <c r="E34" s="33"/>
      <c r="F34" s="37" t="n">
        <v>4</v>
      </c>
      <c r="I34" s="2" t="s">
        <v>319</v>
      </c>
    </row>
    <row r="35" customFormat="false" ht="25.5" hidden="false" customHeight="true" outlineLevel="0" collapsed="false">
      <c r="B35" s="23" t="s">
        <v>356</v>
      </c>
      <c r="C35" s="23"/>
      <c r="D35" s="33" t="s">
        <v>357</v>
      </c>
      <c r="E35" s="33"/>
      <c r="F35" s="38" t="n">
        <f aca="false">E12*100000*0.01*F33/10000</f>
        <v>6.01</v>
      </c>
      <c r="I35" s="2" t="s">
        <v>358</v>
      </c>
    </row>
    <row r="36" customFormat="false" ht="25.5" hidden="false" customHeight="true" outlineLevel="0" collapsed="false">
      <c r="B36" s="23" t="s">
        <v>359</v>
      </c>
      <c r="C36" s="23"/>
      <c r="D36" s="33" t="s">
        <v>338</v>
      </c>
      <c r="E36" s="33"/>
      <c r="F36" s="34" t="n">
        <v>239</v>
      </c>
      <c r="I36" s="2" t="s">
        <v>360</v>
      </c>
    </row>
    <row r="37" customFormat="false" ht="25.5" hidden="false" customHeight="true" outlineLevel="0" collapsed="false">
      <c r="B37" s="23" t="s">
        <v>361</v>
      </c>
      <c r="C37" s="23"/>
      <c r="D37" s="33" t="s">
        <v>338</v>
      </c>
      <c r="E37" s="33"/>
      <c r="F37" s="34" t="n">
        <v>90</v>
      </c>
      <c r="I37" s="2" t="s">
        <v>362</v>
      </c>
    </row>
    <row r="38" customFormat="false" ht="25.5" hidden="false" customHeight="true" outlineLevel="0" collapsed="false">
      <c r="B38" s="23" t="s">
        <v>363</v>
      </c>
      <c r="C38" s="23"/>
      <c r="D38" s="33" t="s">
        <v>364</v>
      </c>
      <c r="E38" s="33"/>
      <c r="F38" s="39" t="n">
        <v>5</v>
      </c>
      <c r="I38" s="2" t="s">
        <v>365</v>
      </c>
    </row>
    <row r="39" customFormat="false" ht="25.5" hidden="false" customHeight="true" outlineLevel="0" collapsed="false">
      <c r="B39" s="23" t="s">
        <v>366</v>
      </c>
      <c r="C39" s="23"/>
      <c r="D39" s="33" t="s">
        <v>39</v>
      </c>
      <c r="E39" s="33"/>
      <c r="F39" s="40" t="n">
        <f aca="false">E12*1000000000000/(H12*10000000)/3</f>
        <v>150743.099787686</v>
      </c>
      <c r="I39" s="2" t="s">
        <v>367</v>
      </c>
    </row>
    <row r="40" customFormat="false" ht="25.5" hidden="false" customHeight="true" outlineLevel="0" collapsed="false">
      <c r="B40" s="23" t="s">
        <v>368</v>
      </c>
      <c r="C40" s="23"/>
      <c r="D40" s="33" t="s">
        <v>369</v>
      </c>
      <c r="E40" s="33"/>
      <c r="F40" s="26" t="n">
        <f aca="false">G22/E22-1</f>
        <v>0.23715849509896</v>
      </c>
      <c r="I40" s="2" t="s">
        <v>370</v>
      </c>
    </row>
    <row r="41" customFormat="false" ht="25.5" hidden="false" customHeight="true" outlineLevel="0" collapsed="false">
      <c r="B41" s="23" t="s">
        <v>371</v>
      </c>
      <c r="C41" s="23"/>
      <c r="D41" s="33" t="s">
        <v>338</v>
      </c>
      <c r="E41" s="33"/>
      <c r="F41" s="25" t="n">
        <v>29.52</v>
      </c>
      <c r="I41" s="2" t="s">
        <v>372</v>
      </c>
    </row>
  </sheetData>
  <mergeCells count="32">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6"/>
    <col collapsed="false" customWidth="true" hidden="false" outlineLevel="0" max="3" min="3" style="0" width="15"/>
    <col collapsed="false" customWidth="true" hidden="false" outlineLevel="0" max="11" min="4" style="0" width="12"/>
    <col collapsed="false" customWidth="true" hidden="false" outlineLevel="0" max="12" min="12" style="0" width="14"/>
  </cols>
  <sheetData>
    <row r="1" customFormat="false" ht="16.15" hidden="false" customHeight="false" outlineLevel="0" collapsed="false">
      <c r="A1" s="5" t="s">
        <v>373</v>
      </c>
    </row>
    <row r="2" customFormat="false" ht="15" hidden="false" customHeight="false" outlineLevel="0" collapsed="false">
      <c r="A2" s="6" t="s">
        <v>374</v>
      </c>
    </row>
    <row r="4" customFormat="false" ht="15" hidden="false" customHeight="false" outlineLevel="0" collapsed="false">
      <c r="A4" s="7" t="s">
        <v>375</v>
      </c>
      <c r="B4" s="7" t="s">
        <v>245</v>
      </c>
      <c r="C4" s="7" t="s">
        <v>27</v>
      </c>
      <c r="D4" s="7" t="s">
        <v>246</v>
      </c>
      <c r="E4" s="7" t="s">
        <v>247</v>
      </c>
      <c r="F4" s="7" t="s">
        <v>248</v>
      </c>
      <c r="G4" s="7" t="s">
        <v>249</v>
      </c>
      <c r="H4" s="7" t="s">
        <v>250</v>
      </c>
      <c r="I4" s="7" t="s">
        <v>251</v>
      </c>
      <c r="J4" s="7" t="s">
        <v>252</v>
      </c>
      <c r="K4" s="7" t="s">
        <v>253</v>
      </c>
      <c r="L4" s="7" t="s">
        <v>376</v>
      </c>
    </row>
    <row r="5" customFormat="false" ht="15" hidden="false" customHeight="false" outlineLevel="0" collapsed="false">
      <c r="B5" s="11" t="s">
        <v>288</v>
      </c>
      <c r="D5" s="41" t="s">
        <v>327</v>
      </c>
      <c r="E5" s="41" t="s">
        <v>329</v>
      </c>
      <c r="F5" s="41" t="s">
        <v>330</v>
      </c>
      <c r="G5" s="41" t="s">
        <v>331</v>
      </c>
      <c r="H5" s="41" t="s">
        <v>332</v>
      </c>
      <c r="I5" s="41" t="s">
        <v>333</v>
      </c>
      <c r="J5" s="41" t="s">
        <v>334</v>
      </c>
      <c r="K5" s="41" t="s">
        <v>335</v>
      </c>
    </row>
    <row r="6" customFormat="false" ht="15" hidden="false" customHeight="false" outlineLevel="0" collapsed="false">
      <c r="B6" s="11" t="s">
        <v>377</v>
      </c>
      <c r="D6" s="42" t="n">
        <f aca="false">Baseline!A15</f>
        <v>11</v>
      </c>
      <c r="E6" s="42" t="n">
        <f aca="false">Baseline!A16</f>
        <v>12</v>
      </c>
      <c r="F6" s="42" t="n">
        <f aca="false">Baseline!A17</f>
        <v>13</v>
      </c>
      <c r="G6" s="42" t="n">
        <f aca="false">Baseline!A18</f>
        <v>14</v>
      </c>
      <c r="H6" s="42" t="n">
        <f aca="false">Baseline!A19</f>
        <v>15</v>
      </c>
      <c r="I6" s="42" t="n">
        <f aca="false">Baseline!A20</f>
        <v>16</v>
      </c>
      <c r="J6" s="42" t="n">
        <f aca="false">Baseline!A21</f>
        <v>17</v>
      </c>
      <c r="K6" s="42" t="n">
        <f aca="false">Baseline!A22</f>
        <v>18</v>
      </c>
    </row>
    <row r="8" customFormat="false" ht="15" hidden="false" customHeight="false" outlineLevel="0" collapsed="false">
      <c r="A8" s="43" t="s">
        <v>378</v>
      </c>
      <c r="B8" s="44"/>
      <c r="C8" s="44"/>
      <c r="D8" s="44"/>
      <c r="E8" s="44"/>
      <c r="F8" s="44"/>
      <c r="G8" s="44"/>
      <c r="H8" s="44"/>
      <c r="I8" s="44"/>
      <c r="J8" s="44"/>
      <c r="K8" s="44"/>
      <c r="L8" s="44"/>
    </row>
    <row r="9" customFormat="false" ht="15" hidden="false" customHeight="false" outlineLevel="0" collapsed="false">
      <c r="A9" s="45"/>
      <c r="B9" s="46" t="s">
        <v>379</v>
      </c>
      <c r="C9" s="45"/>
      <c r="D9" s="45"/>
      <c r="E9" s="45"/>
      <c r="F9" s="45"/>
      <c r="G9" s="45"/>
      <c r="H9" s="45"/>
      <c r="I9" s="45"/>
      <c r="J9" s="45"/>
      <c r="K9" s="45"/>
      <c r="L9" s="45"/>
    </row>
    <row r="10" customFormat="false" ht="15" hidden="false" customHeight="false" outlineLevel="0" collapsed="false">
      <c r="A10" s="47" t="n">
        <v>1</v>
      </c>
      <c r="B10" s="21" t="s">
        <v>380</v>
      </c>
      <c r="C10" s="11" t="s">
        <v>381</v>
      </c>
      <c r="D10" s="48" t="n">
        <f aca="false">Baseline!H15*100</f>
        <v>176.714285714286</v>
      </c>
      <c r="E10" s="48" t="n">
        <f aca="false">Baseline!H16*100</f>
        <v>183.285714285714</v>
      </c>
      <c r="F10" s="48" t="n">
        <f aca="false">Baseline!H17*100</f>
        <v>189.857142857143</v>
      </c>
      <c r="G10" s="48" t="n">
        <f aca="false">Baseline!H18*100</f>
        <v>196.428571428571</v>
      </c>
      <c r="H10" s="48" t="n">
        <f aca="false">Baseline!H19*100</f>
        <v>203</v>
      </c>
      <c r="I10" s="48" t="n">
        <f aca="false">Baseline!H20*100</f>
        <v>209.571428571429</v>
      </c>
      <c r="J10" s="48" t="n">
        <f aca="false">Baseline!H21*100</f>
        <v>216.142857142857</v>
      </c>
      <c r="K10" s="48" t="n">
        <f aca="false">Baseline!H22*100</f>
        <v>222.714285714286</v>
      </c>
      <c r="L10" s="49" t="n">
        <f aca="false">K10</f>
        <v>222.714285714286</v>
      </c>
    </row>
    <row r="11" customFormat="false" ht="15" hidden="false" customHeight="false" outlineLevel="0" collapsed="false">
      <c r="A11" s="47" t="n">
        <v>2</v>
      </c>
      <c r="B11" s="21" t="s">
        <v>382</v>
      </c>
      <c r="C11" s="11" t="s">
        <v>381</v>
      </c>
      <c r="D11" s="27" t="n">
        <f aca="false">D10*Assumptions!$D$10</f>
        <v>53.0142857142857</v>
      </c>
      <c r="E11" s="27" t="n">
        <f aca="false">E10*Assumptions!$D$10</f>
        <v>54.9857142857143</v>
      </c>
      <c r="F11" s="27" t="n">
        <f aca="false">F10*Assumptions!$D$10</f>
        <v>56.9571428571429</v>
      </c>
      <c r="G11" s="27" t="n">
        <f aca="false">G10*Assumptions!$D$10</f>
        <v>58.9285714285714</v>
      </c>
      <c r="H11" s="27" t="n">
        <f aca="false">H10*Assumptions!$D$10</f>
        <v>60.9</v>
      </c>
      <c r="I11" s="27" t="n">
        <f aca="false">I10*Assumptions!$D$10</f>
        <v>62.8714285714286</v>
      </c>
      <c r="J11" s="27" t="n">
        <f aca="false">J10*Assumptions!$D$10</f>
        <v>64.8428571428571</v>
      </c>
      <c r="K11" s="27" t="n">
        <f aca="false">K10*Assumptions!$D$10</f>
        <v>66.8142857142857</v>
      </c>
      <c r="L11" s="49" t="n">
        <f aca="false">K11</f>
        <v>66.8142857142857</v>
      </c>
    </row>
    <row r="12" customFormat="false" ht="15" hidden="false" customHeight="false" outlineLevel="0" collapsed="false">
      <c r="A12" s="47" t="n">
        <v>3</v>
      </c>
      <c r="B12" s="21" t="s">
        <v>383</v>
      </c>
      <c r="C12" s="11" t="s">
        <v>256</v>
      </c>
      <c r="D12" s="50" t="n">
        <f aca="false">Assumptions!D$79</f>
        <v>0.02</v>
      </c>
      <c r="E12" s="50" t="n">
        <f aca="false">Assumptions!E$79</f>
        <v>0.06</v>
      </c>
      <c r="F12" s="50" t="n">
        <f aca="false">Assumptions!F$79</f>
        <v>0.12</v>
      </c>
      <c r="G12" s="50" t="n">
        <f aca="false">Assumptions!G$79</f>
        <v>0.2</v>
      </c>
      <c r="H12" s="50" t="n">
        <f aca="false">Assumptions!H$79</f>
        <v>0.3</v>
      </c>
      <c r="I12" s="50" t="n">
        <f aca="false">Assumptions!I$79</f>
        <v>0.4</v>
      </c>
      <c r="J12" s="50" t="n">
        <f aca="false">Assumptions!J$79</f>
        <v>0.5</v>
      </c>
      <c r="K12" s="50" t="n">
        <f aca="false">Assumptions!K$79</f>
        <v>0.6</v>
      </c>
      <c r="L12" s="51" t="n">
        <f aca="false">K12</f>
        <v>0.6</v>
      </c>
    </row>
    <row r="13" customFormat="false" ht="15" hidden="false" customHeight="false" outlineLevel="0" collapsed="false">
      <c r="A13" s="47" t="n">
        <v>4</v>
      </c>
      <c r="B13" s="19" t="s">
        <v>384</v>
      </c>
      <c r="C13" s="11" t="s">
        <v>381</v>
      </c>
      <c r="D13" s="52" t="n">
        <f aca="false">D11*D12*Assumptions!$D$11</f>
        <v>0.0530142857142857</v>
      </c>
      <c r="E13" s="52" t="n">
        <f aca="false">E11*E12*Assumptions!$D$11</f>
        <v>0.164957142857143</v>
      </c>
      <c r="F13" s="52" t="n">
        <f aca="false">F11*F12*Assumptions!$D$11</f>
        <v>0.341742857142857</v>
      </c>
      <c r="G13" s="52" t="n">
        <f aca="false">G11*G12*Assumptions!$D$11</f>
        <v>0.589285714285714</v>
      </c>
      <c r="H13" s="52" t="n">
        <f aca="false">H11*H12*Assumptions!$D$11</f>
        <v>0.9135</v>
      </c>
      <c r="I13" s="52" t="n">
        <f aca="false">I11*I12*Assumptions!$D$11</f>
        <v>1.25742857142857</v>
      </c>
      <c r="J13" s="52" t="n">
        <f aca="false">J11*J12*Assumptions!$D$11</f>
        <v>1.62107142857143</v>
      </c>
      <c r="K13" s="52" t="n">
        <f aca="false">K11*K12*Assumptions!$D$11</f>
        <v>2.00442857142857</v>
      </c>
      <c r="L13" s="53" t="n">
        <f aca="false">K13</f>
        <v>2.00442857142857</v>
      </c>
    </row>
    <row r="14" customFormat="false" ht="15" hidden="false" customHeight="false" outlineLevel="0" collapsed="false">
      <c r="A14" s="47" t="n">
        <v>5</v>
      </c>
      <c r="B14" s="21" t="s">
        <v>385</v>
      </c>
      <c r="C14" s="11" t="s">
        <v>381</v>
      </c>
      <c r="D14" s="27" t="n">
        <f aca="false">MAX(0,D13-N(C13))</f>
        <v>0.0530142857142857</v>
      </c>
      <c r="E14" s="27" t="n">
        <f aca="false">MAX(0,E13-N(D13))</f>
        <v>0.111942857142857</v>
      </c>
      <c r="F14" s="27" t="n">
        <f aca="false">MAX(0,F13-N(E13))</f>
        <v>0.176785714285714</v>
      </c>
      <c r="G14" s="27" t="n">
        <f aca="false">MAX(0,G13-N(F13))</f>
        <v>0.247542857142857</v>
      </c>
      <c r="H14" s="27" t="n">
        <f aca="false">MAX(0,H13-N(G13))</f>
        <v>0.324214285714286</v>
      </c>
      <c r="I14" s="27" t="n">
        <f aca="false">MAX(0,I13-N(H13))</f>
        <v>0.343928571428572</v>
      </c>
      <c r="J14" s="27" t="n">
        <f aca="false">MAX(0,J13-N(I13))</f>
        <v>0.363642857142857</v>
      </c>
      <c r="K14" s="27" t="n">
        <f aca="false">MAX(0,K13-N(J13))</f>
        <v>0.383357142857143</v>
      </c>
      <c r="L14" s="52" t="n">
        <f aca="false">SUM(D14:K14)</f>
        <v>2.00442857142857</v>
      </c>
    </row>
    <row r="15" customFormat="false" ht="15" hidden="false" customHeight="false" outlineLevel="0" collapsed="false">
      <c r="A15" s="47" t="n">
        <v>6</v>
      </c>
      <c r="B15" s="21" t="s">
        <v>386</v>
      </c>
      <c r="C15" s="11" t="s">
        <v>338</v>
      </c>
      <c r="D15" s="40" t="n">
        <f aca="false">D13*Assumptions!$D$12*3/100</f>
        <v>238.564285714286</v>
      </c>
      <c r="E15" s="40" t="n">
        <f aca="false">E13*Assumptions!$D$12*3/100</f>
        <v>742.307142857143</v>
      </c>
      <c r="F15" s="40" t="n">
        <f aca="false">F13*Assumptions!$D$12*3/100</f>
        <v>1537.84285714286</v>
      </c>
      <c r="G15" s="40" t="n">
        <f aca="false">G13*Assumptions!$D$12*3/100</f>
        <v>2651.78571428571</v>
      </c>
      <c r="H15" s="40" t="n">
        <f aca="false">H13*Assumptions!$D$12*3/100</f>
        <v>4110.75</v>
      </c>
      <c r="I15" s="40" t="n">
        <f aca="false">I13*Assumptions!$D$12*3/100</f>
        <v>5658.42857142857</v>
      </c>
      <c r="J15" s="40" t="n">
        <f aca="false">J13*Assumptions!$D$12*3/100</f>
        <v>7294.82142857143</v>
      </c>
      <c r="K15" s="40" t="n">
        <f aca="false">K13*Assumptions!$D$12*3/100</f>
        <v>9019.92857142857</v>
      </c>
      <c r="L15" s="54" t="n">
        <f aca="false">SUM(D15:K15)</f>
        <v>31254.4285714286</v>
      </c>
    </row>
    <row r="16" customFormat="false" ht="15" hidden="false" customHeight="false" outlineLevel="0" collapsed="false">
      <c r="A16" s="47" t="n">
        <v>7</v>
      </c>
      <c r="B16" s="21" t="s">
        <v>387</v>
      </c>
      <c r="C16" s="11" t="s">
        <v>338</v>
      </c>
      <c r="D16" s="40" t="n">
        <f aca="false">D15*Assumptions!$D$13</f>
        <v>47.7128571428571</v>
      </c>
      <c r="E16" s="40" t="n">
        <f aca="false">E15*Assumptions!$D$13</f>
        <v>148.461428571429</v>
      </c>
      <c r="F16" s="40" t="n">
        <f aca="false">F15*Assumptions!$D$13</f>
        <v>307.568571428571</v>
      </c>
      <c r="G16" s="40" t="n">
        <f aca="false">G15*Assumptions!$D$13</f>
        <v>530.357142857143</v>
      </c>
      <c r="H16" s="40" t="n">
        <f aca="false">H15*Assumptions!$D$13</f>
        <v>822.15</v>
      </c>
      <c r="I16" s="40" t="n">
        <f aca="false">I15*Assumptions!$D$13</f>
        <v>1131.68571428571</v>
      </c>
      <c r="J16" s="40" t="n">
        <f aca="false">J15*Assumptions!$D$13</f>
        <v>1458.96428571429</v>
      </c>
      <c r="K16" s="40" t="n">
        <f aca="false">K15*Assumptions!$D$13</f>
        <v>1803.98571428571</v>
      </c>
      <c r="L16" s="54" t="n">
        <f aca="false">SUM(D16:K16)</f>
        <v>6250.88571428572</v>
      </c>
    </row>
    <row r="17" customFormat="false" ht="15" hidden="false" customHeight="false" outlineLevel="0" collapsed="false">
      <c r="A17" s="47" t="n">
        <v>8</v>
      </c>
      <c r="B17" s="21" t="s">
        <v>388</v>
      </c>
      <c r="C17" s="11" t="s">
        <v>338</v>
      </c>
      <c r="D17" s="40" t="n">
        <f aca="false">D16*Assumptions!$D$14</f>
        <v>23.8564285714286</v>
      </c>
      <c r="E17" s="40" t="n">
        <f aca="false">E16*Assumptions!$D$14</f>
        <v>74.2307142857143</v>
      </c>
      <c r="F17" s="40" t="n">
        <f aca="false">F16*Assumptions!$D$14</f>
        <v>153.784285714286</v>
      </c>
      <c r="G17" s="40" t="n">
        <f aca="false">G16*Assumptions!$D$14</f>
        <v>265.178571428571</v>
      </c>
      <c r="H17" s="40" t="n">
        <f aca="false">H16*Assumptions!$D$14</f>
        <v>411.075</v>
      </c>
      <c r="I17" s="40" t="n">
        <f aca="false">I16*Assumptions!$D$14</f>
        <v>565.842857142857</v>
      </c>
      <c r="J17" s="40" t="n">
        <f aca="false">J16*Assumptions!$D$14</f>
        <v>729.482142857143</v>
      </c>
      <c r="K17" s="40" t="n">
        <f aca="false">K16*Assumptions!$D$14</f>
        <v>901.992857142857</v>
      </c>
      <c r="L17" s="54" t="n">
        <f aca="false">SUM(D17:K17)</f>
        <v>3125.44285714286</v>
      </c>
    </row>
    <row r="18" customFormat="false" ht="15" hidden="false" customHeight="false" outlineLevel="0" collapsed="false">
      <c r="A18" s="47" t="n">
        <v>9</v>
      </c>
      <c r="B18" s="19" t="s">
        <v>389</v>
      </c>
      <c r="C18" s="11" t="s">
        <v>338</v>
      </c>
      <c r="D18" s="54" t="n">
        <f aca="false">D17*Assumptions!$D$15</f>
        <v>9.54257142857143</v>
      </c>
      <c r="E18" s="54" t="n">
        <f aca="false">E17*Assumptions!$D$15</f>
        <v>29.6922857142857</v>
      </c>
      <c r="F18" s="54" t="n">
        <f aca="false">F17*Assumptions!$D$15</f>
        <v>61.5137142857143</v>
      </c>
      <c r="G18" s="54" t="n">
        <f aca="false">G17*Assumptions!$D$15</f>
        <v>106.071428571429</v>
      </c>
      <c r="H18" s="54" t="n">
        <f aca="false">H17*Assumptions!$D$15</f>
        <v>164.43</v>
      </c>
      <c r="I18" s="54" t="n">
        <f aca="false">I17*Assumptions!$D$15</f>
        <v>226.337142857143</v>
      </c>
      <c r="J18" s="54" t="n">
        <f aca="false">J17*Assumptions!$D$15</f>
        <v>291.792857142857</v>
      </c>
      <c r="K18" s="54" t="n">
        <f aca="false">K17*Assumptions!$D$15</f>
        <v>360.797142857143</v>
      </c>
      <c r="L18" s="54" t="n">
        <f aca="false">SUM(D18:K18)</f>
        <v>1250.17714285714</v>
      </c>
    </row>
    <row r="19" customFormat="false" ht="15" hidden="false" customHeight="false" outlineLevel="0" collapsed="false">
      <c r="A19" s="47" t="n">
        <v>10</v>
      </c>
      <c r="B19" s="21" t="s">
        <v>390</v>
      </c>
      <c r="C19" s="11" t="s">
        <v>338</v>
      </c>
      <c r="D19" s="38" t="n">
        <f aca="false">D13*Assumptions!$D$38*Assumptions!$D$39*3/100</f>
        <v>0.795214285714286</v>
      </c>
      <c r="E19" s="38" t="n">
        <f aca="false">E13*Assumptions!$D$38*Assumptions!$D$39*3/100</f>
        <v>2.47435714285714</v>
      </c>
      <c r="F19" s="38" t="n">
        <f aca="false">F13*Assumptions!$D$38*Assumptions!$D$39*3/100</f>
        <v>5.12614285714286</v>
      </c>
      <c r="G19" s="38" t="n">
        <f aca="false">G13*Assumptions!$D$38*Assumptions!$D$39*3/100</f>
        <v>8.83928571428572</v>
      </c>
      <c r="H19" s="38" t="n">
        <f aca="false">H13*Assumptions!$D$38*Assumptions!$D$39*3/100</f>
        <v>13.7025</v>
      </c>
      <c r="I19" s="38" t="n">
        <f aca="false">I13*Assumptions!$D$38*Assumptions!$D$39*3/100</f>
        <v>18.8614285714286</v>
      </c>
      <c r="J19" s="38" t="n">
        <f aca="false">J13*Assumptions!$D$38*Assumptions!$D$39*3/100</f>
        <v>24.3160714285714</v>
      </c>
      <c r="K19" s="38" t="n">
        <f aca="false">K13*Assumptions!$D$38*Assumptions!$D$39*3/100</f>
        <v>30.0664285714286</v>
      </c>
      <c r="L19" s="55" t="n">
        <f aca="false">SUM(D19:K19)</f>
        <v>104.181428571429</v>
      </c>
    </row>
    <row r="20" customFormat="false" ht="15" hidden="false" customHeight="false" outlineLevel="0" collapsed="false">
      <c r="A20" s="45"/>
      <c r="B20" s="46" t="s">
        <v>391</v>
      </c>
      <c r="C20" s="45"/>
      <c r="D20" s="45"/>
      <c r="E20" s="45"/>
      <c r="F20" s="45"/>
      <c r="G20" s="45"/>
      <c r="H20" s="45"/>
      <c r="I20" s="45"/>
      <c r="J20" s="45"/>
      <c r="K20" s="45"/>
      <c r="L20" s="45"/>
    </row>
    <row r="21" customFormat="false" ht="15" hidden="false" customHeight="false" outlineLevel="0" collapsed="false">
      <c r="A21" s="47" t="n">
        <v>11</v>
      </c>
      <c r="B21" s="21" t="s">
        <v>392</v>
      </c>
      <c r="C21" s="11" t="s">
        <v>338</v>
      </c>
      <c r="D21" s="38" t="n">
        <f aca="false">D16*Assumptions!$D$17*Assumptions!$D$18</f>
        <v>2.504925</v>
      </c>
      <c r="E21" s="38" t="n">
        <f aca="false">E16*Assumptions!$D$17*Assumptions!$D$18</f>
        <v>7.794225</v>
      </c>
      <c r="F21" s="38" t="n">
        <f aca="false">F16*Assumptions!$D$17*Assumptions!$D$18</f>
        <v>16.14735</v>
      </c>
      <c r="G21" s="38" t="n">
        <f aca="false">G16*Assumptions!$D$17*Assumptions!$D$18</f>
        <v>27.84375</v>
      </c>
      <c r="H21" s="38" t="n">
        <f aca="false">H16*Assumptions!$D$17*Assumptions!$D$18</f>
        <v>43.162875</v>
      </c>
      <c r="I21" s="38" t="n">
        <f aca="false">I16*Assumptions!$D$17*Assumptions!$D$18</f>
        <v>59.4135</v>
      </c>
      <c r="J21" s="38" t="n">
        <f aca="false">J16*Assumptions!$D$17*Assumptions!$D$18</f>
        <v>76.595625</v>
      </c>
      <c r="K21" s="38" t="n">
        <f aca="false">K16*Assumptions!$D$17*Assumptions!$D$18</f>
        <v>94.70925</v>
      </c>
      <c r="L21" s="55" t="n">
        <f aca="false">SUM(D21:K21)</f>
        <v>328.1715</v>
      </c>
    </row>
    <row r="22" customFormat="false" ht="15" hidden="false" customHeight="false" outlineLevel="0" collapsed="false">
      <c r="A22" s="47" t="n">
        <v>12</v>
      </c>
      <c r="B22" s="21" t="s">
        <v>393</v>
      </c>
      <c r="C22" s="11" t="s">
        <v>338</v>
      </c>
      <c r="D22" s="38" t="n">
        <f aca="false">D21*Assumptions!$D$19</f>
        <v>1.12721625</v>
      </c>
      <c r="E22" s="38" t="n">
        <f aca="false">E21*Assumptions!$D$19</f>
        <v>3.50740125</v>
      </c>
      <c r="F22" s="38" t="n">
        <f aca="false">F21*Assumptions!$D$19</f>
        <v>7.2663075</v>
      </c>
      <c r="G22" s="38" t="n">
        <f aca="false">G21*Assumptions!$D$19</f>
        <v>12.5296875</v>
      </c>
      <c r="H22" s="38" t="n">
        <f aca="false">H21*Assumptions!$D$19</f>
        <v>19.42329375</v>
      </c>
      <c r="I22" s="38" t="n">
        <f aca="false">I21*Assumptions!$D$19</f>
        <v>26.736075</v>
      </c>
      <c r="J22" s="38" t="n">
        <f aca="false">J21*Assumptions!$D$19</f>
        <v>34.46803125</v>
      </c>
      <c r="K22" s="38" t="n">
        <f aca="false">K21*Assumptions!$D$19</f>
        <v>42.6191625</v>
      </c>
      <c r="L22" s="55" t="n">
        <f aca="false">SUM(D22:K22)</f>
        <v>147.677175</v>
      </c>
    </row>
    <row r="23" customFormat="false" ht="15" hidden="false" customHeight="false" outlineLevel="0" collapsed="false">
      <c r="A23" s="47" t="n">
        <v>13</v>
      </c>
      <c r="B23" s="21" t="s">
        <v>394</v>
      </c>
      <c r="C23" s="11" t="s">
        <v>338</v>
      </c>
      <c r="D23" s="38" t="n">
        <f aca="false">D21*Assumptions!$D$20</f>
        <v>0.62623125</v>
      </c>
      <c r="E23" s="38" t="n">
        <f aca="false">E21*Assumptions!$D$20</f>
        <v>1.94855625</v>
      </c>
      <c r="F23" s="38" t="n">
        <f aca="false">F21*Assumptions!$D$20</f>
        <v>4.0368375</v>
      </c>
      <c r="G23" s="38" t="n">
        <f aca="false">G21*Assumptions!$D$20</f>
        <v>6.9609375</v>
      </c>
      <c r="H23" s="38" t="n">
        <f aca="false">H21*Assumptions!$D$20</f>
        <v>10.79071875</v>
      </c>
      <c r="I23" s="38" t="n">
        <f aca="false">I21*Assumptions!$D$20</f>
        <v>14.853375</v>
      </c>
      <c r="J23" s="38" t="n">
        <f aca="false">J21*Assumptions!$D$20</f>
        <v>19.14890625</v>
      </c>
      <c r="K23" s="38" t="n">
        <f aca="false">K21*Assumptions!$D$20</f>
        <v>23.6773125</v>
      </c>
      <c r="L23" s="55" t="n">
        <f aca="false">SUM(D23:K23)</f>
        <v>82.042875</v>
      </c>
    </row>
    <row r="24" customFormat="false" ht="15" hidden="false" customHeight="false" outlineLevel="0" collapsed="false">
      <c r="A24" s="47" t="n">
        <v>14</v>
      </c>
      <c r="B24" s="21" t="s">
        <v>395</v>
      </c>
      <c r="C24" s="11" t="s">
        <v>338</v>
      </c>
      <c r="D24" s="38" t="n">
        <f aca="false">D21*Assumptions!$D$21</f>
        <v>0.37573875</v>
      </c>
      <c r="E24" s="38" t="n">
        <f aca="false">E21*Assumptions!$D$21</f>
        <v>1.16913375</v>
      </c>
      <c r="F24" s="38" t="n">
        <f aca="false">F21*Assumptions!$D$21</f>
        <v>2.4221025</v>
      </c>
      <c r="G24" s="38" t="n">
        <f aca="false">G21*Assumptions!$D$21</f>
        <v>4.1765625</v>
      </c>
      <c r="H24" s="38" t="n">
        <f aca="false">H21*Assumptions!$D$21</f>
        <v>6.47443125</v>
      </c>
      <c r="I24" s="38" t="n">
        <f aca="false">I21*Assumptions!$D$21</f>
        <v>8.912025</v>
      </c>
      <c r="J24" s="38" t="n">
        <f aca="false">J21*Assumptions!$D$21</f>
        <v>11.48934375</v>
      </c>
      <c r="K24" s="38" t="n">
        <f aca="false">K21*Assumptions!$D$21</f>
        <v>14.2063875</v>
      </c>
      <c r="L24" s="55" t="n">
        <f aca="false">SUM(D24:K24)</f>
        <v>49.225725</v>
      </c>
    </row>
    <row r="25" customFormat="false" ht="15" hidden="false" customHeight="false" outlineLevel="0" collapsed="false">
      <c r="A25" s="47" t="n">
        <v>15</v>
      </c>
      <c r="B25" s="21" t="s">
        <v>396</v>
      </c>
      <c r="C25" s="11" t="s">
        <v>338</v>
      </c>
      <c r="D25" s="38" t="n">
        <f aca="false">D21*Assumptions!$D$22</f>
        <v>0.37573875</v>
      </c>
      <c r="E25" s="38" t="n">
        <f aca="false">E21*Assumptions!$D$22</f>
        <v>1.16913375</v>
      </c>
      <c r="F25" s="38" t="n">
        <f aca="false">F21*Assumptions!$D$22</f>
        <v>2.4221025</v>
      </c>
      <c r="G25" s="38" t="n">
        <f aca="false">G21*Assumptions!$D$22</f>
        <v>4.1765625</v>
      </c>
      <c r="H25" s="38" t="n">
        <f aca="false">H21*Assumptions!$D$22</f>
        <v>6.47443125</v>
      </c>
      <c r="I25" s="38" t="n">
        <f aca="false">I21*Assumptions!$D$22</f>
        <v>8.912025</v>
      </c>
      <c r="J25" s="38" t="n">
        <f aca="false">J21*Assumptions!$D$22</f>
        <v>11.48934375</v>
      </c>
      <c r="K25" s="38" t="n">
        <f aca="false">K21*Assumptions!$D$22</f>
        <v>14.2063875</v>
      </c>
      <c r="L25" s="55" t="n">
        <f aca="false">SUM(D25:K25)</f>
        <v>49.225725</v>
      </c>
    </row>
    <row r="26" customFormat="false" ht="15" hidden="false" customHeight="false" outlineLevel="0" collapsed="false">
      <c r="A26" s="47" t="n">
        <v>16</v>
      </c>
      <c r="B26" s="21" t="s">
        <v>397</v>
      </c>
      <c r="C26" s="11" t="s">
        <v>398</v>
      </c>
      <c r="D26" s="27" t="n">
        <f aca="false">D13*Assumptions!$D$27/4</f>
        <v>0.000662678571428571</v>
      </c>
      <c r="E26" s="27" t="n">
        <f aca="false">E13*Assumptions!$D$27/4</f>
        <v>0.00206196428571429</v>
      </c>
      <c r="F26" s="27" t="n">
        <f aca="false">F13*Assumptions!$D$27/4</f>
        <v>0.00427178571428571</v>
      </c>
      <c r="G26" s="27" t="n">
        <f aca="false">G13*Assumptions!$D$27/4</f>
        <v>0.00736607142857143</v>
      </c>
      <c r="H26" s="27" t="n">
        <f aca="false">H13*Assumptions!$D$27/4</f>
        <v>0.01141875</v>
      </c>
      <c r="I26" s="27" t="n">
        <f aca="false">I13*Assumptions!$D$27/4</f>
        <v>0.0157178571428571</v>
      </c>
      <c r="J26" s="27" t="n">
        <f aca="false">J13*Assumptions!$D$27/4</f>
        <v>0.0202633928571429</v>
      </c>
      <c r="K26" s="27" t="n">
        <f aca="false">K13*Assumptions!$D$27/4</f>
        <v>0.0250553571428571</v>
      </c>
      <c r="L26" s="52" t="n">
        <f aca="false">SUM(D26:K26)</f>
        <v>0.0868178571428571</v>
      </c>
    </row>
    <row r="27" customFormat="false" ht="15" hidden="false" customHeight="false" outlineLevel="0" collapsed="false">
      <c r="A27" s="47" t="n">
        <v>17</v>
      </c>
      <c r="B27" s="21" t="s">
        <v>399</v>
      </c>
      <c r="C27" s="11" t="s">
        <v>338</v>
      </c>
      <c r="D27" s="38" t="n">
        <f aca="false">D26*Assumptions!$D$28/100</f>
        <v>0.662678571428571</v>
      </c>
      <c r="E27" s="38" t="n">
        <f aca="false">E26*Assumptions!$D$28/100</f>
        <v>2.06196428571429</v>
      </c>
      <c r="F27" s="38" t="n">
        <f aca="false">F26*Assumptions!$D$28/100</f>
        <v>4.27178571428571</v>
      </c>
      <c r="G27" s="38" t="n">
        <f aca="false">G26*Assumptions!$D$28/100</f>
        <v>7.36607142857143</v>
      </c>
      <c r="H27" s="38" t="n">
        <f aca="false">H26*Assumptions!$D$28/100</f>
        <v>11.41875</v>
      </c>
      <c r="I27" s="38" t="n">
        <f aca="false">I26*Assumptions!$D$28/100</f>
        <v>15.7178571428571</v>
      </c>
      <c r="J27" s="38" t="n">
        <f aca="false">J26*Assumptions!$D$28/100</f>
        <v>20.2633928571429</v>
      </c>
      <c r="K27" s="38" t="n">
        <f aca="false">K26*Assumptions!$D$28/100</f>
        <v>25.0553571428571</v>
      </c>
      <c r="L27" s="55" t="n">
        <f aca="false">SUM(D27:K27)</f>
        <v>86.8178571428572</v>
      </c>
    </row>
    <row r="28" customFormat="false" ht="15" hidden="false" customHeight="false" outlineLevel="0" collapsed="false">
      <c r="A28" s="47" t="n">
        <v>18</v>
      </c>
      <c r="B28" s="19" t="s">
        <v>400</v>
      </c>
      <c r="C28" s="11" t="s">
        <v>338</v>
      </c>
      <c r="D28" s="55" t="n">
        <f aca="false">D21+D27</f>
        <v>3.16760357142857</v>
      </c>
      <c r="E28" s="55" t="n">
        <f aca="false">E21+E27</f>
        <v>9.85618928571429</v>
      </c>
      <c r="F28" s="55" t="n">
        <f aca="false">F21+F27</f>
        <v>20.4191357142857</v>
      </c>
      <c r="G28" s="55" t="n">
        <f aca="false">G21+G27</f>
        <v>35.2098214285714</v>
      </c>
      <c r="H28" s="55" t="n">
        <f aca="false">H21+H27</f>
        <v>54.581625</v>
      </c>
      <c r="I28" s="55" t="n">
        <f aca="false">I21+I27</f>
        <v>75.1313571428572</v>
      </c>
      <c r="J28" s="55" t="n">
        <f aca="false">J21+J27</f>
        <v>96.8590178571429</v>
      </c>
      <c r="K28" s="55" t="n">
        <f aca="false">K21+K27</f>
        <v>119.764607142857</v>
      </c>
      <c r="L28" s="55" t="n">
        <f aca="false">SUM(D28:K28)</f>
        <v>414.989357142857</v>
      </c>
    </row>
    <row r="29" customFormat="false" ht="15" hidden="false" customHeight="false" outlineLevel="0" collapsed="false">
      <c r="A29" s="45"/>
      <c r="B29" s="46" t="s">
        <v>401</v>
      </c>
      <c r="C29" s="45"/>
      <c r="D29" s="45"/>
      <c r="E29" s="45"/>
      <c r="F29" s="45"/>
      <c r="G29" s="45"/>
      <c r="H29" s="45"/>
      <c r="I29" s="45"/>
      <c r="J29" s="45"/>
      <c r="K29" s="45"/>
      <c r="L29" s="45"/>
    </row>
    <row r="30" customFormat="false" ht="15" hidden="false" customHeight="false" outlineLevel="0" collapsed="false">
      <c r="A30" s="47" t="n">
        <v>19</v>
      </c>
      <c r="B30" s="21" t="s">
        <v>402</v>
      </c>
      <c r="C30" s="11" t="s">
        <v>338</v>
      </c>
      <c r="D30" s="27" t="n">
        <f aca="false">D22*Assumptions!$D$23+D23*Assumptions!$D$24+D24*Assumptions!$D$25+D25*Assumptions!$D$26</f>
        <v>0.00488460375</v>
      </c>
      <c r="E30" s="27" t="n">
        <f aca="false">E22*Assumptions!$D$23+E23*Assumptions!$D$24+E24*Assumptions!$D$25+E25*Assumptions!$D$26</f>
        <v>0.01519873875</v>
      </c>
      <c r="F30" s="27" t="n">
        <f aca="false">F22*Assumptions!$D$23+F23*Assumptions!$D$24+F24*Assumptions!$D$25+F25*Assumptions!$D$26</f>
        <v>0.0314873325</v>
      </c>
      <c r="G30" s="27" t="n">
        <f aca="false">G22*Assumptions!$D$23+G23*Assumptions!$D$24+G24*Assumptions!$D$25+G25*Assumptions!$D$26</f>
        <v>0.0542953125</v>
      </c>
      <c r="H30" s="27" t="n">
        <f aca="false">H22*Assumptions!$D$23+H23*Assumptions!$D$24+H24*Assumptions!$D$25+H25*Assumptions!$D$26</f>
        <v>0.08416760625</v>
      </c>
      <c r="I30" s="27" t="n">
        <f aca="false">I22*Assumptions!$D$23+I23*Assumptions!$D$24+I24*Assumptions!$D$25+I25*Assumptions!$D$26</f>
        <v>0.115856325</v>
      </c>
      <c r="J30" s="27" t="n">
        <f aca="false">J22*Assumptions!$D$23+J23*Assumptions!$D$24+J24*Assumptions!$D$25+J25*Assumptions!$D$26</f>
        <v>0.14936146875</v>
      </c>
      <c r="K30" s="27" t="n">
        <f aca="false">K22*Assumptions!$D$23+K23*Assumptions!$D$24+K24*Assumptions!$D$25+K25*Assumptions!$D$26</f>
        <v>0.1846830375</v>
      </c>
      <c r="L30" s="52" t="n">
        <f aca="false">SUM(D30:K30)</f>
        <v>0.639934425</v>
      </c>
    </row>
    <row r="31" customFormat="false" ht="15" hidden="false" customHeight="false" outlineLevel="0" collapsed="false">
      <c r="A31" s="47" t="n">
        <v>20</v>
      </c>
      <c r="B31" s="21" t="s">
        <v>403</v>
      </c>
      <c r="C31" s="11" t="s">
        <v>338</v>
      </c>
      <c r="D31" s="27" t="n">
        <f aca="false">D27*Assumptions!$D$29</f>
        <v>0.0132535714285714</v>
      </c>
      <c r="E31" s="27" t="n">
        <f aca="false">E27*Assumptions!$D$29</f>
        <v>0.0412392857142857</v>
      </c>
      <c r="F31" s="27" t="n">
        <f aca="false">F27*Assumptions!$D$29</f>
        <v>0.0854357142857143</v>
      </c>
      <c r="G31" s="27" t="n">
        <f aca="false">G27*Assumptions!$D$29</f>
        <v>0.147321428571429</v>
      </c>
      <c r="H31" s="27" t="n">
        <f aca="false">H27*Assumptions!$D$29</f>
        <v>0.228375</v>
      </c>
      <c r="I31" s="27" t="n">
        <f aca="false">I27*Assumptions!$D$29</f>
        <v>0.314357142857143</v>
      </c>
      <c r="J31" s="27" t="n">
        <f aca="false">J27*Assumptions!$D$29</f>
        <v>0.405267857142857</v>
      </c>
      <c r="K31" s="27" t="n">
        <f aca="false">K27*Assumptions!$D$29</f>
        <v>0.501107142857143</v>
      </c>
      <c r="L31" s="52" t="n">
        <f aca="false">SUM(D31:K31)</f>
        <v>1.73635714285714</v>
      </c>
    </row>
    <row r="32" customFormat="false" ht="15" hidden="false" customHeight="false" outlineLevel="0" collapsed="false">
      <c r="A32" s="47" t="n">
        <v>21</v>
      </c>
      <c r="B32" s="21" t="s">
        <v>404</v>
      </c>
      <c r="C32" s="11" t="s">
        <v>338</v>
      </c>
      <c r="D32" s="27" t="n">
        <f aca="false">D18*Assumptions!$D$34*Assumptions!$D$35*Assumptions!$D$33</f>
        <v>0</v>
      </c>
      <c r="E32" s="27" t="n">
        <f aca="false">E18*Assumptions!$D$34*Assumptions!$D$35*Assumptions!$D$33</f>
        <v>0</v>
      </c>
      <c r="F32" s="27" t="n">
        <f aca="false">F18*Assumptions!$D$34*Assumptions!$D$35*Assumptions!$D$33</f>
        <v>0</v>
      </c>
      <c r="G32" s="27" t="n">
        <f aca="false">G18*Assumptions!$D$34*Assumptions!$D$35*Assumptions!$D$33</f>
        <v>0</v>
      </c>
      <c r="H32" s="27" t="n">
        <f aca="false">H18*Assumptions!$D$34*Assumptions!$D$35*Assumptions!$D$33</f>
        <v>0</v>
      </c>
      <c r="I32" s="27" t="n">
        <f aca="false">I18*Assumptions!$D$34*Assumptions!$D$35*Assumptions!$D$33</f>
        <v>0</v>
      </c>
      <c r="J32" s="27" t="n">
        <f aca="false">J18*Assumptions!$D$34*Assumptions!$D$35*Assumptions!$D$33</f>
        <v>0</v>
      </c>
      <c r="K32" s="27" t="n">
        <f aca="false">K18*Assumptions!$D$34*Assumptions!$D$35*Assumptions!$D$33</f>
        <v>0</v>
      </c>
      <c r="L32" s="52" t="n">
        <f aca="false">SUM(D32:K32)</f>
        <v>0</v>
      </c>
    </row>
    <row r="33" customFormat="false" ht="15" hidden="false" customHeight="false" outlineLevel="0" collapsed="false">
      <c r="A33" s="47" t="n">
        <v>22</v>
      </c>
      <c r="B33" s="21" t="s">
        <v>405</v>
      </c>
      <c r="C33" s="11" t="s">
        <v>338</v>
      </c>
      <c r="D33" s="27" t="n">
        <f aca="false">D13*Assumptions!$D$36*Assumptions!$D$37*3/100</f>
        <v>0.0077931</v>
      </c>
      <c r="E33" s="27" t="n">
        <f aca="false">E13*Assumptions!$D$36*Assumptions!$D$37*3/100</f>
        <v>0.0242487</v>
      </c>
      <c r="F33" s="27" t="n">
        <f aca="false">F13*Assumptions!$D$36*Assumptions!$D$37*3/100</f>
        <v>0.0502362</v>
      </c>
      <c r="G33" s="27" t="n">
        <f aca="false">G13*Assumptions!$D$36*Assumptions!$D$37*3/100</f>
        <v>0.086625</v>
      </c>
      <c r="H33" s="27" t="n">
        <f aca="false">H13*Assumptions!$D$36*Assumptions!$D$37*3/100</f>
        <v>0.1342845</v>
      </c>
      <c r="I33" s="27" t="n">
        <f aca="false">I13*Assumptions!$D$36*Assumptions!$D$37*3/100</f>
        <v>0.184842</v>
      </c>
      <c r="J33" s="27" t="n">
        <f aca="false">J13*Assumptions!$D$36*Assumptions!$D$37*3/100</f>
        <v>0.2382975</v>
      </c>
      <c r="K33" s="27" t="n">
        <f aca="false">K13*Assumptions!$D$36*Assumptions!$D$37*3/100</f>
        <v>0.294651</v>
      </c>
      <c r="L33" s="52" t="n">
        <f aca="false">SUM(D33:K33)</f>
        <v>1.020978</v>
      </c>
    </row>
    <row r="34" customFormat="false" ht="15" hidden="false" customHeight="false" outlineLevel="0" collapsed="false">
      <c r="A34" s="47" t="n">
        <v>23</v>
      </c>
      <c r="B34" s="21" t="s">
        <v>406</v>
      </c>
      <c r="C34" s="11" t="s">
        <v>338</v>
      </c>
      <c r="D34" s="27" t="n">
        <f aca="false">D19*Assumptions!$D$6</f>
        <v>0.000318085714285714</v>
      </c>
      <c r="E34" s="27" t="n">
        <f aca="false">E19*Assumptions!$D$6</f>
        <v>0.000989742857142857</v>
      </c>
      <c r="F34" s="27" t="n">
        <f aca="false">F19*Assumptions!$D$6</f>
        <v>0.00205045714285714</v>
      </c>
      <c r="G34" s="27" t="n">
        <f aca="false">G19*Assumptions!$D$6</f>
        <v>0.00353571428571429</v>
      </c>
      <c r="H34" s="27" t="n">
        <f aca="false">H19*Assumptions!$D$6</f>
        <v>0.005481</v>
      </c>
      <c r="I34" s="27" t="n">
        <f aca="false">I19*Assumptions!$D$6</f>
        <v>0.00754457142857143</v>
      </c>
      <c r="J34" s="27" t="n">
        <f aca="false">J19*Assumptions!$D$6</f>
        <v>0.00972642857142857</v>
      </c>
      <c r="K34" s="27" t="n">
        <f aca="false">K19*Assumptions!$D$6</f>
        <v>0.0120265714285714</v>
      </c>
      <c r="L34" s="52" t="n">
        <f aca="false">SUM(D34:K34)</f>
        <v>0.0416725714285714</v>
      </c>
    </row>
    <row r="35" customFormat="false" ht="15" hidden="false" customHeight="false" outlineLevel="0" collapsed="false">
      <c r="A35" s="47" t="n">
        <v>24</v>
      </c>
      <c r="B35" s="21" t="s">
        <v>407</v>
      </c>
      <c r="C35" s="11" t="s">
        <v>338</v>
      </c>
      <c r="D35" s="27" t="n">
        <f aca="false">SUM(D30:D34)</f>
        <v>0.0262493608928571</v>
      </c>
      <c r="E35" s="27" t="n">
        <f aca="false">SUM(E30:E34)</f>
        <v>0.0816764673214286</v>
      </c>
      <c r="F35" s="27" t="n">
        <f aca="false">SUM(F30:F34)</f>
        <v>0.169209703928571</v>
      </c>
      <c r="G35" s="27" t="n">
        <f aca="false">SUM(G30:G34)</f>
        <v>0.291777455357143</v>
      </c>
      <c r="H35" s="27" t="n">
        <f aca="false">SUM(H30:H34)</f>
        <v>0.45230810625</v>
      </c>
      <c r="I35" s="27" t="n">
        <f aca="false">SUM(I30:I34)</f>
        <v>0.622600039285714</v>
      </c>
      <c r="J35" s="27" t="n">
        <f aca="false">SUM(J30:J34)</f>
        <v>0.802653254464286</v>
      </c>
      <c r="K35" s="27" t="n">
        <f aca="false">SUM(K30:K34)</f>
        <v>0.992467751785714</v>
      </c>
      <c r="L35" s="52" t="n">
        <f aca="false">SUM(D35:K35)</f>
        <v>3.43894213928571</v>
      </c>
    </row>
    <row r="36" customFormat="false" ht="15" hidden="false" customHeight="false" outlineLevel="0" collapsed="false">
      <c r="A36" s="47" t="n">
        <v>25</v>
      </c>
      <c r="B36" s="21" t="s">
        <v>408</v>
      </c>
      <c r="C36" s="11" t="s">
        <v>338</v>
      </c>
      <c r="D36" s="27" t="n">
        <f aca="false">D13*Assumptions!$D$41*3/100+D13*Assumptions!$D$36*Assumptions!$D$42*3/100</f>
        <v>0.0437367857142857</v>
      </c>
      <c r="E36" s="27" t="n">
        <f aca="false">E13*Assumptions!$D$41*3/100+E13*Assumptions!$D$36*Assumptions!$D$42*3/100</f>
        <v>0.136089642857143</v>
      </c>
      <c r="F36" s="27" t="n">
        <f aca="false">F13*Assumptions!$D$41*3/100+F13*Assumptions!$D$36*Assumptions!$D$42*3/100</f>
        <v>0.281937857142857</v>
      </c>
      <c r="G36" s="27" t="n">
        <f aca="false">G13*Assumptions!$D$41*3/100+G13*Assumptions!$D$36*Assumptions!$D$42*3/100</f>
        <v>0.486160714285714</v>
      </c>
      <c r="H36" s="27" t="n">
        <f aca="false">H13*Assumptions!$D$41*3/100+H13*Assumptions!$D$36*Assumptions!$D$42*3/100</f>
        <v>0.7536375</v>
      </c>
      <c r="I36" s="27" t="n">
        <f aca="false">I13*Assumptions!$D$41*3/100+I13*Assumptions!$D$36*Assumptions!$D$42*3/100</f>
        <v>1.03737857142857</v>
      </c>
      <c r="J36" s="27" t="n">
        <f aca="false">J13*Assumptions!$D$41*3/100+J13*Assumptions!$D$36*Assumptions!$D$42*3/100</f>
        <v>1.33738392857143</v>
      </c>
      <c r="K36" s="27" t="n">
        <f aca="false">K13*Assumptions!$D$41*3/100+K13*Assumptions!$D$36*Assumptions!$D$42*3/100</f>
        <v>1.65365357142857</v>
      </c>
      <c r="L36" s="52" t="n">
        <f aca="false">SUM(D36:K36)</f>
        <v>5.72997857142857</v>
      </c>
    </row>
    <row r="37" customFormat="false" ht="15" hidden="false" customHeight="false" outlineLevel="0" collapsed="false">
      <c r="A37" s="47" t="n">
        <v>26</v>
      </c>
      <c r="B37" s="21" t="s">
        <v>409</v>
      </c>
      <c r="C37" s="11" t="s">
        <v>338</v>
      </c>
      <c r="D37" s="27" t="n">
        <f aca="false">D14*Assumptions!$D$43/100</f>
        <v>0.212057142857143</v>
      </c>
      <c r="E37" s="27" t="n">
        <f aca="false">E14*Assumptions!$D$43/100</f>
        <v>0.447771428571429</v>
      </c>
      <c r="F37" s="27" t="n">
        <f aca="false">F14*Assumptions!$D$43/100</f>
        <v>0.707142857142857</v>
      </c>
      <c r="G37" s="27" t="n">
        <f aca="false">G14*Assumptions!$D$43/100</f>
        <v>0.990171428571429</v>
      </c>
      <c r="H37" s="27" t="n">
        <f aca="false">H14*Assumptions!$D$43/100</f>
        <v>1.29685714285714</v>
      </c>
      <c r="I37" s="27" t="n">
        <f aca="false">I14*Assumptions!$D$43/100</f>
        <v>1.37571428571429</v>
      </c>
      <c r="J37" s="27" t="n">
        <f aca="false">J14*Assumptions!$D$43/100</f>
        <v>1.45457142857143</v>
      </c>
      <c r="K37" s="27" t="n">
        <f aca="false">K14*Assumptions!$D$43/100</f>
        <v>1.53342857142857</v>
      </c>
      <c r="L37" s="52" t="n">
        <f aca="false">SUM(D37:K37)</f>
        <v>8.01771428571429</v>
      </c>
    </row>
    <row r="38" customFormat="false" ht="15" hidden="false" customHeight="false" outlineLevel="0" collapsed="false">
      <c r="A38" s="47" t="n">
        <v>27</v>
      </c>
      <c r="B38" s="21" t="s">
        <v>410</v>
      </c>
      <c r="C38" s="11" t="s">
        <v>338</v>
      </c>
      <c r="D38" s="27" t="n">
        <f aca="false">D13*Assumptions!$D$44*3/100</f>
        <v>0.0318085714285714</v>
      </c>
      <c r="E38" s="27" t="n">
        <f aca="false">E13*Assumptions!$D$44*3/100</f>
        <v>0.0989742857142857</v>
      </c>
      <c r="F38" s="27" t="n">
        <f aca="false">F13*Assumptions!$D$44*3/100</f>
        <v>0.205045714285714</v>
      </c>
      <c r="G38" s="27" t="n">
        <f aca="false">G13*Assumptions!$D$44*3/100</f>
        <v>0.353571428571429</v>
      </c>
      <c r="H38" s="27" t="n">
        <f aca="false">H13*Assumptions!$D$44*3/100</f>
        <v>0.5481</v>
      </c>
      <c r="I38" s="27" t="n">
        <f aca="false">I13*Assumptions!$D$44*3/100</f>
        <v>0.754457142857143</v>
      </c>
      <c r="J38" s="27" t="n">
        <f aca="false">J13*Assumptions!$D$44*3/100</f>
        <v>0.972642857142857</v>
      </c>
      <c r="K38" s="27" t="n">
        <f aca="false">K13*Assumptions!$D$44*3/100</f>
        <v>1.20265714285714</v>
      </c>
      <c r="L38" s="52" t="n">
        <f aca="false">SUM(D38:K38)</f>
        <v>4.16725714285714</v>
      </c>
    </row>
    <row r="39" customFormat="false" ht="15" hidden="false" customHeight="false" outlineLevel="0" collapsed="false">
      <c r="A39" s="47" t="n">
        <v>28</v>
      </c>
      <c r="B39" s="21" t="s">
        <v>411</v>
      </c>
      <c r="C39" s="11" t="s">
        <v>338</v>
      </c>
      <c r="D39" s="27" t="n">
        <f aca="false">D18*Assumptions!$D$45</f>
        <v>0.00190851428571429</v>
      </c>
      <c r="E39" s="27" t="n">
        <f aca="false">E18*Assumptions!$D$45</f>
        <v>0.00593845714285714</v>
      </c>
      <c r="F39" s="27" t="n">
        <f aca="false">F18*Assumptions!$D$45</f>
        <v>0.0123027428571429</v>
      </c>
      <c r="G39" s="27" t="n">
        <f aca="false">G18*Assumptions!$D$45</f>
        <v>0.0212142857142857</v>
      </c>
      <c r="H39" s="27" t="n">
        <f aca="false">H18*Assumptions!$D$45</f>
        <v>0.032886</v>
      </c>
      <c r="I39" s="27" t="n">
        <f aca="false">I18*Assumptions!$D$45</f>
        <v>0.0452674285714286</v>
      </c>
      <c r="J39" s="27" t="n">
        <f aca="false">J18*Assumptions!$D$45</f>
        <v>0.0583585714285714</v>
      </c>
      <c r="K39" s="27" t="n">
        <f aca="false">K18*Assumptions!$D$45</f>
        <v>0.0721594285714286</v>
      </c>
      <c r="L39" s="52" t="n">
        <f aca="false">SUM(D39:K39)</f>
        <v>0.250035428571429</v>
      </c>
    </row>
    <row r="40" customFormat="false" ht="15" hidden="false" customHeight="false" outlineLevel="0" collapsed="false">
      <c r="A40" s="47" t="n">
        <v>29</v>
      </c>
      <c r="B40" s="21" t="s">
        <v>412</v>
      </c>
      <c r="C40" s="11" t="s">
        <v>338</v>
      </c>
      <c r="D40" s="27" t="n">
        <f aca="false">D22*Assumptions!$D$30+D27*Assumptions!$D$31</f>
        <v>0.0127582191964286</v>
      </c>
      <c r="E40" s="27" t="n">
        <f aca="false">E22*Assumptions!$D$30+E27*Assumptions!$D$31</f>
        <v>0.0396979674107143</v>
      </c>
      <c r="F40" s="27" t="n">
        <f aca="false">F22*Assumptions!$D$30+F27*Assumptions!$D$31</f>
        <v>0.0822425544642857</v>
      </c>
      <c r="G40" s="27" t="n">
        <f aca="false">G22*Assumptions!$D$30+G27*Assumptions!$D$31</f>
        <v>0.141815290178571</v>
      </c>
      <c r="H40" s="27" t="n">
        <f aca="false">H22*Assumptions!$D$30+H27*Assumptions!$D$31</f>
        <v>0.219839484375</v>
      </c>
      <c r="I40" s="27" t="n">
        <f aca="false">I22*Assumptions!$D$30+I27*Assumptions!$D$31</f>
        <v>0.302608044642857</v>
      </c>
      <c r="J40" s="27" t="n">
        <f aca="false">J22*Assumptions!$D$30+J27*Assumptions!$D$31</f>
        <v>0.390120970982143</v>
      </c>
      <c r="K40" s="27" t="n">
        <f aca="false">K22*Assumptions!$D$30+K27*Assumptions!$D$31</f>
        <v>0.482378263392857</v>
      </c>
      <c r="L40" s="52" t="n">
        <f aca="false">SUM(D40:K40)</f>
        <v>1.67146079464286</v>
      </c>
    </row>
    <row r="41" customFormat="false" ht="15" hidden="false" customHeight="false" outlineLevel="0" collapsed="false">
      <c r="A41" s="47" t="n">
        <v>30</v>
      </c>
      <c r="B41" s="21" t="s">
        <v>413</v>
      </c>
      <c r="C41" s="11" t="s">
        <v>338</v>
      </c>
      <c r="D41" s="27" t="n">
        <f aca="false">SUM(D36:D40)</f>
        <v>0.302269233482143</v>
      </c>
      <c r="E41" s="27" t="n">
        <f aca="false">SUM(E36:E40)</f>
        <v>0.728471781696429</v>
      </c>
      <c r="F41" s="27" t="n">
        <f aca="false">SUM(F36:F40)</f>
        <v>1.28867172589286</v>
      </c>
      <c r="G41" s="27" t="n">
        <f aca="false">SUM(G36:G40)</f>
        <v>1.99293314732143</v>
      </c>
      <c r="H41" s="27" t="n">
        <f aca="false">SUM(H36:H40)</f>
        <v>2.85132012723214</v>
      </c>
      <c r="I41" s="27" t="n">
        <f aca="false">SUM(I36:I40)</f>
        <v>3.51542547321429</v>
      </c>
      <c r="J41" s="27" t="n">
        <f aca="false">SUM(J36:J40)</f>
        <v>4.21307775669643</v>
      </c>
      <c r="K41" s="27" t="n">
        <f aca="false">SUM(K36:K40)</f>
        <v>4.94427697767857</v>
      </c>
      <c r="L41" s="52" t="n">
        <f aca="false">SUM(D41:K41)</f>
        <v>19.8364462232143</v>
      </c>
    </row>
    <row r="42" customFormat="false" ht="15" hidden="false" customHeight="false" outlineLevel="0" collapsed="false">
      <c r="A42" s="47" t="n">
        <v>31</v>
      </c>
      <c r="B42" s="19" t="s">
        <v>414</v>
      </c>
      <c r="C42" s="11" t="s">
        <v>338</v>
      </c>
      <c r="D42" s="52" t="n">
        <f aca="false">D35-D41</f>
        <v>-0.276019872589286</v>
      </c>
      <c r="E42" s="52" t="n">
        <f aca="false">E35-E41</f>
        <v>-0.646795314375</v>
      </c>
      <c r="F42" s="52" t="n">
        <f aca="false">F35-F41</f>
        <v>-1.11946202196429</v>
      </c>
      <c r="G42" s="52" t="n">
        <f aca="false">G35-G41</f>
        <v>-1.70115569196429</v>
      </c>
      <c r="H42" s="52" t="n">
        <f aca="false">H35-H41</f>
        <v>-2.39901202098214</v>
      </c>
      <c r="I42" s="52" t="n">
        <f aca="false">I35-I41</f>
        <v>-2.89282543392857</v>
      </c>
      <c r="J42" s="52" t="n">
        <f aca="false">J35-J41</f>
        <v>-3.41042450223214</v>
      </c>
      <c r="K42" s="52" t="n">
        <f aca="false">K35-K41</f>
        <v>-3.95180922589286</v>
      </c>
      <c r="L42" s="52" t="n">
        <f aca="false">SUM(D42:K42)</f>
        <v>-16.3975040839286</v>
      </c>
    </row>
    <row r="43" customFormat="false" ht="15" hidden="false" customHeight="false" outlineLevel="0" collapsed="false">
      <c r="A43" s="47" t="n">
        <v>32</v>
      </c>
      <c r="B43" s="21" t="s">
        <v>415</v>
      </c>
      <c r="C43" s="11" t="s">
        <v>338</v>
      </c>
      <c r="D43" s="27" t="n">
        <f aca="false">D16*Assumptions!$D$49</f>
        <v>0.0477128571428572</v>
      </c>
      <c r="E43" s="27" t="n">
        <f aca="false">E16*Assumptions!$D$49</f>
        <v>0.148461428571429</v>
      </c>
      <c r="F43" s="27" t="n">
        <f aca="false">F16*Assumptions!$D$49</f>
        <v>0.307568571428571</v>
      </c>
      <c r="G43" s="27" t="n">
        <f aca="false">G16*Assumptions!$D$49</f>
        <v>0.530357142857143</v>
      </c>
      <c r="H43" s="27" t="n">
        <f aca="false">H16*Assumptions!$D$49</f>
        <v>0.82215</v>
      </c>
      <c r="I43" s="27" t="n">
        <f aca="false">I16*Assumptions!$D$49</f>
        <v>1.13168571428571</v>
      </c>
      <c r="J43" s="27" t="n">
        <f aca="false">J16*Assumptions!$D$49</f>
        <v>1.45896428571429</v>
      </c>
      <c r="K43" s="27" t="n">
        <f aca="false">K16*Assumptions!$D$49</f>
        <v>1.80398571428571</v>
      </c>
      <c r="L43" s="52" t="n">
        <f aca="false">SUM(D43:K43)</f>
        <v>6.25088571428572</v>
      </c>
    </row>
    <row r="44" customFormat="false" ht="15" hidden="false" customHeight="false" outlineLevel="0" collapsed="false">
      <c r="A44" s="45"/>
      <c r="B44" s="46" t="s">
        <v>168</v>
      </c>
      <c r="C44" s="45"/>
      <c r="D44" s="45"/>
      <c r="E44" s="45"/>
      <c r="F44" s="45"/>
      <c r="G44" s="45"/>
      <c r="H44" s="45"/>
      <c r="I44" s="45"/>
      <c r="J44" s="45"/>
      <c r="K44" s="45"/>
      <c r="L44" s="45"/>
    </row>
    <row r="45" customFormat="false" ht="15" hidden="false" customHeight="false" outlineLevel="0" collapsed="false">
      <c r="A45" s="47" t="n">
        <v>33</v>
      </c>
      <c r="B45" s="21" t="s">
        <v>416</v>
      </c>
      <c r="C45" s="11" t="s">
        <v>260</v>
      </c>
      <c r="D45" s="50" t="n">
        <f aca="false">Assumptions!D$80</f>
        <v>0.05</v>
      </c>
      <c r="E45" s="50" t="n">
        <f aca="false">Assumptions!E$80</f>
        <v>0.15</v>
      </c>
      <c r="F45" s="50" t="n">
        <f aca="false">Assumptions!F$80</f>
        <v>0.3</v>
      </c>
      <c r="G45" s="50" t="n">
        <f aca="false">Assumptions!G$80</f>
        <v>0.45</v>
      </c>
      <c r="H45" s="50" t="n">
        <f aca="false">Assumptions!H$80</f>
        <v>0.6</v>
      </c>
      <c r="I45" s="50" t="n">
        <f aca="false">Assumptions!I$80</f>
        <v>0.7</v>
      </c>
      <c r="J45" s="50" t="n">
        <f aca="false">Assumptions!J$80</f>
        <v>0.8</v>
      </c>
      <c r="K45" s="50" t="n">
        <f aca="false">Assumptions!K$80</f>
        <v>0.85</v>
      </c>
      <c r="L45" s="51" t="n">
        <f aca="false">K45</f>
        <v>0.85</v>
      </c>
    </row>
    <row r="46" customFormat="false" ht="15" hidden="false" customHeight="false" outlineLevel="0" collapsed="false">
      <c r="A46" s="47" t="n">
        <v>34</v>
      </c>
      <c r="B46" s="21" t="s">
        <v>417</v>
      </c>
      <c r="C46" s="11" t="s">
        <v>381</v>
      </c>
      <c r="D46" s="27" t="n">
        <f aca="false">D10*D45</f>
        <v>8.83571428571429</v>
      </c>
      <c r="E46" s="27" t="n">
        <f aca="false">E10*E45</f>
        <v>27.4928571428571</v>
      </c>
      <c r="F46" s="27" t="n">
        <f aca="false">F10*F45</f>
        <v>56.9571428571429</v>
      </c>
      <c r="G46" s="27" t="n">
        <f aca="false">G10*G45</f>
        <v>88.3928571428572</v>
      </c>
      <c r="H46" s="27" t="n">
        <f aca="false">H10*H45</f>
        <v>121.8</v>
      </c>
      <c r="I46" s="27" t="n">
        <f aca="false">I10*I45</f>
        <v>146.7</v>
      </c>
      <c r="J46" s="27" t="n">
        <f aca="false">J10*J45</f>
        <v>172.914285714286</v>
      </c>
      <c r="K46" s="27" t="n">
        <f aca="false">K10*K45</f>
        <v>189.307142857143</v>
      </c>
      <c r="L46" s="49" t="n">
        <f aca="false">K46</f>
        <v>189.307142857143</v>
      </c>
    </row>
    <row r="47" customFormat="false" ht="15" hidden="false" customHeight="false" outlineLevel="0" collapsed="false">
      <c r="A47" s="47" t="n">
        <v>35</v>
      </c>
      <c r="B47" s="21" t="s">
        <v>418</v>
      </c>
      <c r="C47" s="11" t="s">
        <v>381</v>
      </c>
      <c r="D47" s="27" t="n">
        <f aca="false">D46*Assumptions!$D$51/100/4</f>
        <v>0.883571428571429</v>
      </c>
      <c r="E47" s="27" t="n">
        <f aca="false">E46*Assumptions!$D$51/100/4</f>
        <v>2.74928571428571</v>
      </c>
      <c r="F47" s="27" t="n">
        <f aca="false">F46*Assumptions!$D$51/100/4</f>
        <v>5.69571428571429</v>
      </c>
      <c r="G47" s="27" t="n">
        <f aca="false">G46*Assumptions!$D$51/100/4</f>
        <v>8.83928571428572</v>
      </c>
      <c r="H47" s="27" t="n">
        <f aca="false">H46*Assumptions!$D$51/100/4</f>
        <v>12.18</v>
      </c>
      <c r="I47" s="27" t="n">
        <f aca="false">I46*Assumptions!$D$51/100/4</f>
        <v>14.67</v>
      </c>
      <c r="J47" s="27" t="n">
        <f aca="false">J46*Assumptions!$D$51/100/4</f>
        <v>17.2914285714286</v>
      </c>
      <c r="K47" s="27" t="n">
        <f aca="false">K46*Assumptions!$D$51/100/4</f>
        <v>18.9307142857143</v>
      </c>
      <c r="L47" s="52" t="n">
        <f aca="false">SUM(D47:K47)</f>
        <v>81.24</v>
      </c>
    </row>
    <row r="48" customFormat="false" ht="15" hidden="false" customHeight="false" outlineLevel="0" collapsed="false">
      <c r="A48" s="47" t="n">
        <v>36</v>
      </c>
      <c r="B48" s="21" t="s">
        <v>419</v>
      </c>
      <c r="C48" s="11" t="s">
        <v>381</v>
      </c>
      <c r="D48" s="27" t="n">
        <f aca="false">D47*Assumptions!$D$52*Assumptions!$D$53</f>
        <v>0.0795214285714286</v>
      </c>
      <c r="E48" s="27" t="n">
        <f aca="false">E47*Assumptions!$D$52*Assumptions!$D$53</f>
        <v>0.247435714285714</v>
      </c>
      <c r="F48" s="27" t="n">
        <f aca="false">F47*Assumptions!$D$52*Assumptions!$D$53</f>
        <v>0.512614285714286</v>
      </c>
      <c r="G48" s="27" t="n">
        <f aca="false">G47*Assumptions!$D$52*Assumptions!$D$53</f>
        <v>0.795535714285714</v>
      </c>
      <c r="H48" s="27" t="n">
        <f aca="false">H47*Assumptions!$D$52*Assumptions!$D$53</f>
        <v>1.0962</v>
      </c>
      <c r="I48" s="27" t="n">
        <f aca="false">I47*Assumptions!$D$52*Assumptions!$D$53</f>
        <v>1.3203</v>
      </c>
      <c r="J48" s="27" t="n">
        <f aca="false">J47*Assumptions!$D$52*Assumptions!$D$53</f>
        <v>1.55622857142857</v>
      </c>
      <c r="K48" s="27" t="n">
        <f aca="false">K47*Assumptions!$D$52*Assumptions!$D$53</f>
        <v>1.70376428571429</v>
      </c>
      <c r="L48" s="52" t="n">
        <f aca="false">SUM(D48:K48)</f>
        <v>7.3116</v>
      </c>
    </row>
    <row r="49" customFormat="false" ht="15" hidden="false" customHeight="false" outlineLevel="0" collapsed="false">
      <c r="A49" s="47" t="n">
        <v>37</v>
      </c>
      <c r="B49" s="21" t="s">
        <v>420</v>
      </c>
      <c r="C49" s="11" t="s">
        <v>381</v>
      </c>
      <c r="D49" s="27" t="n">
        <f aca="false">D47*Assumptions!$D$55*Assumptions!$D$56</f>
        <v>0.0110446428571429</v>
      </c>
      <c r="E49" s="27" t="n">
        <f aca="false">E47*Assumptions!$D$55*Assumptions!$D$56</f>
        <v>0.0343660714285714</v>
      </c>
      <c r="F49" s="27" t="n">
        <f aca="false">F47*Assumptions!$D$55*Assumptions!$D$56</f>
        <v>0.0711964285714286</v>
      </c>
      <c r="G49" s="27" t="n">
        <f aca="false">G47*Assumptions!$D$55*Assumptions!$D$56</f>
        <v>0.110491071428571</v>
      </c>
      <c r="H49" s="27" t="n">
        <f aca="false">H47*Assumptions!$D$55*Assumptions!$D$56</f>
        <v>0.15225</v>
      </c>
      <c r="I49" s="27" t="n">
        <f aca="false">I47*Assumptions!$D$55*Assumptions!$D$56</f>
        <v>0.183375</v>
      </c>
      <c r="J49" s="27" t="n">
        <f aca="false">J47*Assumptions!$D$55*Assumptions!$D$56</f>
        <v>0.216142857142857</v>
      </c>
      <c r="K49" s="27" t="n">
        <f aca="false">K47*Assumptions!$D$55*Assumptions!$D$56</f>
        <v>0.236633928571429</v>
      </c>
      <c r="L49" s="52" t="n">
        <f aca="false">SUM(D49:K49)</f>
        <v>1.0155</v>
      </c>
    </row>
    <row r="50" customFormat="false" ht="15" hidden="false" customHeight="false" outlineLevel="0" collapsed="false">
      <c r="A50" s="47" t="n">
        <v>38</v>
      </c>
      <c r="B50" s="21" t="s">
        <v>421</v>
      </c>
      <c r="C50" s="11" t="s">
        <v>422</v>
      </c>
      <c r="D50" s="27" t="n">
        <f aca="false">D47*Assumptions!$D$58*Assumptions!$D$59</f>
        <v>0.883571428571429</v>
      </c>
      <c r="E50" s="27" t="n">
        <f aca="false">E47*Assumptions!$D$58*Assumptions!$D$59</f>
        <v>2.74928571428571</v>
      </c>
      <c r="F50" s="27" t="n">
        <f aca="false">F47*Assumptions!$D$58*Assumptions!$D$59</f>
        <v>5.69571428571429</v>
      </c>
      <c r="G50" s="27" t="n">
        <f aca="false">G47*Assumptions!$D$58*Assumptions!$D$59</f>
        <v>8.83928571428572</v>
      </c>
      <c r="H50" s="27" t="n">
        <f aca="false">H47*Assumptions!$D$58*Assumptions!$D$59</f>
        <v>12.18</v>
      </c>
      <c r="I50" s="27" t="n">
        <f aca="false">I47*Assumptions!$D$58*Assumptions!$D$59</f>
        <v>14.67</v>
      </c>
      <c r="J50" s="27" t="n">
        <f aca="false">J47*Assumptions!$D$58*Assumptions!$D$59</f>
        <v>17.2914285714286</v>
      </c>
      <c r="K50" s="27" t="n">
        <f aca="false">K47*Assumptions!$D$58*Assumptions!$D$59</f>
        <v>18.9307142857143</v>
      </c>
      <c r="L50" s="52" t="n">
        <f aca="false">SUM(D50:K50)</f>
        <v>81.24</v>
      </c>
    </row>
    <row r="51" customFormat="false" ht="15" hidden="false" customHeight="false" outlineLevel="0" collapsed="false">
      <c r="A51" s="47" t="n">
        <v>39</v>
      </c>
      <c r="B51" s="21" t="s">
        <v>423</v>
      </c>
      <c r="C51" s="11" t="s">
        <v>338</v>
      </c>
      <c r="D51" s="38" t="n">
        <f aca="false">D50*Assumptions!$D$7/30*Assumptions!$D$60/100</f>
        <v>1.47261904761905</v>
      </c>
      <c r="E51" s="38" t="n">
        <f aca="false">E50*Assumptions!$D$7/30*Assumptions!$D$60/100</f>
        <v>4.58214285714286</v>
      </c>
      <c r="F51" s="38" t="n">
        <f aca="false">F50*Assumptions!$D$7/30*Assumptions!$D$60/100</f>
        <v>9.49285714285714</v>
      </c>
      <c r="G51" s="38" t="n">
        <f aca="false">G50*Assumptions!$D$7/30*Assumptions!$D$60/100</f>
        <v>14.7321428571429</v>
      </c>
      <c r="H51" s="38" t="n">
        <f aca="false">H50*Assumptions!$D$7/30*Assumptions!$D$60/100</f>
        <v>20.3</v>
      </c>
      <c r="I51" s="38" t="n">
        <f aca="false">I50*Assumptions!$D$7/30*Assumptions!$D$60/100</f>
        <v>24.45</v>
      </c>
      <c r="J51" s="38" t="n">
        <f aca="false">J50*Assumptions!$D$7/30*Assumptions!$D$60/100</f>
        <v>28.8190476190476</v>
      </c>
      <c r="K51" s="38" t="n">
        <f aca="false">K50*Assumptions!$D$7/30*Assumptions!$D$60/100</f>
        <v>31.5511904761905</v>
      </c>
      <c r="L51" s="55" t="n">
        <f aca="false">SUM(D51:K51)</f>
        <v>135.4</v>
      </c>
    </row>
    <row r="52" customFormat="false" ht="15" hidden="false" customHeight="false" outlineLevel="0" collapsed="false">
      <c r="A52" s="47" t="n">
        <v>40</v>
      </c>
      <c r="B52" s="21" t="s">
        <v>424</v>
      </c>
      <c r="C52" s="11" t="s">
        <v>381</v>
      </c>
      <c r="D52" s="27" t="n">
        <f aca="false">N(C52)+D47*Assumptions!$D$61*Assumptions!$D$62</f>
        <v>0.0106028571428571</v>
      </c>
      <c r="E52" s="27" t="n">
        <f aca="false">N(D52)+E47*Assumptions!$D$61*Assumptions!$D$62</f>
        <v>0.0435942857142857</v>
      </c>
      <c r="F52" s="27" t="n">
        <f aca="false">N(E52)+F47*Assumptions!$D$61*Assumptions!$D$62</f>
        <v>0.111942857142857</v>
      </c>
      <c r="G52" s="27" t="n">
        <f aca="false">N(F52)+G47*Assumptions!$D$61*Assumptions!$D$62</f>
        <v>0.218014285714286</v>
      </c>
      <c r="H52" s="27" t="n">
        <f aca="false">N(G52)+H47*Assumptions!$D$61*Assumptions!$D$62</f>
        <v>0.364174285714286</v>
      </c>
      <c r="I52" s="27" t="n">
        <f aca="false">N(H52)+I47*Assumptions!$D$61*Assumptions!$D$62</f>
        <v>0.540214285714286</v>
      </c>
      <c r="J52" s="27" t="n">
        <f aca="false">N(I52)+J47*Assumptions!$D$61*Assumptions!$D$62</f>
        <v>0.747711428571429</v>
      </c>
      <c r="K52" s="27" t="n">
        <f aca="false">N(J52)+K47*Assumptions!$D$61*Assumptions!$D$62</f>
        <v>0.97488</v>
      </c>
      <c r="L52" s="49" t="n">
        <f aca="false">K52</f>
        <v>0.97488</v>
      </c>
    </row>
    <row r="53" customFormat="false" ht="15" hidden="false" customHeight="false" outlineLevel="0" collapsed="false">
      <c r="A53" s="47" t="n">
        <v>41</v>
      </c>
      <c r="B53" s="21" t="s">
        <v>425</v>
      </c>
      <c r="C53" s="11" t="s">
        <v>338</v>
      </c>
      <c r="D53" s="38" t="n">
        <f aca="false">D52*Assumptions!$D$7*3/100</f>
        <v>15.9042857142857</v>
      </c>
      <c r="E53" s="38" t="n">
        <f aca="false">E52*Assumptions!$D$7*3/100</f>
        <v>65.3914285714286</v>
      </c>
      <c r="F53" s="38" t="n">
        <f aca="false">F52*Assumptions!$D$7*3/100</f>
        <v>167.914285714286</v>
      </c>
      <c r="G53" s="38" t="n">
        <f aca="false">G52*Assumptions!$D$7*3/100</f>
        <v>327.021428571429</v>
      </c>
      <c r="H53" s="38" t="n">
        <f aca="false">H52*Assumptions!$D$7*3/100</f>
        <v>546.261428571429</v>
      </c>
      <c r="I53" s="38" t="n">
        <f aca="false">I52*Assumptions!$D$7*3/100</f>
        <v>810.321428571429</v>
      </c>
      <c r="J53" s="38" t="n">
        <f aca="false">J52*Assumptions!$D$7*3/100</f>
        <v>1121.56714285714</v>
      </c>
      <c r="K53" s="38" t="n">
        <f aca="false">K52*Assumptions!$D$7*3/100</f>
        <v>1462.32</v>
      </c>
      <c r="L53" s="55" t="n">
        <f aca="false">SUM(D53:K53)</f>
        <v>4516.70142857143</v>
      </c>
    </row>
    <row r="54" customFormat="false" ht="15" hidden="false" customHeight="false" outlineLevel="0" collapsed="false">
      <c r="A54" s="47" t="n">
        <v>42</v>
      </c>
      <c r="B54" s="21" t="s">
        <v>426</v>
      </c>
      <c r="C54" s="11" t="s">
        <v>338</v>
      </c>
      <c r="D54" s="27" t="n">
        <f aca="false">D52*Assumptions!$D$8*3/100</f>
        <v>0.0254468571428572</v>
      </c>
      <c r="E54" s="27" t="n">
        <f aca="false">E52*Assumptions!$D$8*3/100</f>
        <v>0.104626285714286</v>
      </c>
      <c r="F54" s="27" t="n">
        <f aca="false">F52*Assumptions!$D$8*3/100</f>
        <v>0.268662857142857</v>
      </c>
      <c r="G54" s="27" t="n">
        <f aca="false">G52*Assumptions!$D$8*3/100</f>
        <v>0.523234285714286</v>
      </c>
      <c r="H54" s="27" t="n">
        <f aca="false">H52*Assumptions!$D$8*3/100</f>
        <v>0.874018285714286</v>
      </c>
      <c r="I54" s="27" t="n">
        <f aca="false">I52*Assumptions!$D$8*3/100</f>
        <v>1.29651428571429</v>
      </c>
      <c r="J54" s="27" t="n">
        <f aca="false">J52*Assumptions!$D$8*3/100</f>
        <v>1.79450742857143</v>
      </c>
      <c r="K54" s="27" t="n">
        <f aca="false">K52*Assumptions!$D$8*3/100</f>
        <v>2.339712</v>
      </c>
      <c r="L54" s="52" t="n">
        <f aca="false">SUM(D54:K54)</f>
        <v>7.22672228571429</v>
      </c>
    </row>
    <row r="55" customFormat="false" ht="15" hidden="false" customHeight="false" outlineLevel="0" collapsed="false">
      <c r="A55" s="47" t="n">
        <v>43</v>
      </c>
      <c r="B55" s="21" t="s">
        <v>427</v>
      </c>
      <c r="C55" s="11" t="s">
        <v>338</v>
      </c>
      <c r="D55" s="27" t="n">
        <f aca="false">(D51+D53)*Assumptions!$D$6</f>
        <v>0.00695076190476191</v>
      </c>
      <c r="E55" s="27" t="n">
        <f aca="false">(E51+E53)*Assumptions!$D$6</f>
        <v>0.0279894285714286</v>
      </c>
      <c r="F55" s="27" t="n">
        <f aca="false">(F51+F53)*Assumptions!$D$6</f>
        <v>0.0709628571428572</v>
      </c>
      <c r="G55" s="27" t="n">
        <f aca="false">(G51+G53)*Assumptions!$D$6</f>
        <v>0.136701428571429</v>
      </c>
      <c r="H55" s="27" t="n">
        <f aca="false">(H51+H53)*Assumptions!$D$6</f>
        <v>0.226624571428571</v>
      </c>
      <c r="I55" s="27" t="n">
        <f aca="false">(I51+I53)*Assumptions!$D$6</f>
        <v>0.333908571428571</v>
      </c>
      <c r="J55" s="27" t="n">
        <f aca="false">(J51+J53)*Assumptions!$D$6</f>
        <v>0.460154476190476</v>
      </c>
      <c r="K55" s="27" t="n">
        <f aca="false">(K51+K53)*Assumptions!$D$6</f>
        <v>0.597548476190476</v>
      </c>
      <c r="L55" s="52" t="n">
        <f aca="false">SUM(D55:K55)</f>
        <v>1.86084057142857</v>
      </c>
    </row>
    <row r="56" customFormat="false" ht="15" hidden="false" customHeight="false" outlineLevel="0" collapsed="false">
      <c r="A56" s="47" t="n">
        <v>44</v>
      </c>
      <c r="B56" s="21" t="s">
        <v>428</v>
      </c>
      <c r="C56" s="11" t="s">
        <v>338</v>
      </c>
      <c r="D56" s="27" t="n">
        <f aca="false">D54+D55</f>
        <v>0.0323976190476191</v>
      </c>
      <c r="E56" s="27" t="n">
        <f aca="false">E54+E55</f>
        <v>0.132615714285714</v>
      </c>
      <c r="F56" s="27" t="n">
        <f aca="false">F54+F55</f>
        <v>0.339625714285714</v>
      </c>
      <c r="G56" s="27" t="n">
        <f aca="false">G54+G55</f>
        <v>0.659935714285714</v>
      </c>
      <c r="H56" s="27" t="n">
        <f aca="false">H54+H55</f>
        <v>1.10064285714286</v>
      </c>
      <c r="I56" s="27" t="n">
        <f aca="false">I54+I55</f>
        <v>1.63042285714286</v>
      </c>
      <c r="J56" s="27" t="n">
        <f aca="false">J54+J55</f>
        <v>2.25466190476191</v>
      </c>
      <c r="K56" s="27" t="n">
        <f aca="false">K54+K55</f>
        <v>2.93726047619048</v>
      </c>
      <c r="L56" s="52" t="n">
        <f aca="false">SUM(D56:K56)</f>
        <v>9.08756285714286</v>
      </c>
    </row>
    <row r="57" customFormat="false" ht="15" hidden="false" customHeight="false" outlineLevel="0" collapsed="false">
      <c r="A57" s="47" t="n">
        <v>45</v>
      </c>
      <c r="B57" s="21" t="s">
        <v>429</v>
      </c>
      <c r="C57" s="11" t="s">
        <v>338</v>
      </c>
      <c r="D57" s="27" t="n">
        <f aca="false">D48*Assumptions!$D$54/100</f>
        <v>0.278325</v>
      </c>
      <c r="E57" s="27" t="n">
        <f aca="false">E48*Assumptions!$D$54/100</f>
        <v>0.866025</v>
      </c>
      <c r="F57" s="27" t="n">
        <f aca="false">F48*Assumptions!$D$54/100</f>
        <v>1.79415</v>
      </c>
      <c r="G57" s="27" t="n">
        <f aca="false">G48*Assumptions!$D$54/100</f>
        <v>2.784375</v>
      </c>
      <c r="H57" s="27" t="n">
        <f aca="false">H48*Assumptions!$D$54/100</f>
        <v>3.8367</v>
      </c>
      <c r="I57" s="27" t="n">
        <f aca="false">I48*Assumptions!$D$54/100</f>
        <v>4.62105</v>
      </c>
      <c r="J57" s="27" t="n">
        <f aca="false">J48*Assumptions!$D$54/100</f>
        <v>5.4468</v>
      </c>
      <c r="K57" s="27" t="n">
        <f aca="false">K48*Assumptions!$D$54/100</f>
        <v>5.963175</v>
      </c>
      <c r="L57" s="52" t="n">
        <f aca="false">SUM(D57:K57)</f>
        <v>25.5906</v>
      </c>
    </row>
    <row r="58" customFormat="false" ht="15" hidden="false" customHeight="false" outlineLevel="0" collapsed="false">
      <c r="A58" s="47" t="n">
        <v>46</v>
      </c>
      <c r="B58" s="21" t="s">
        <v>430</v>
      </c>
      <c r="C58" s="11" t="s">
        <v>338</v>
      </c>
      <c r="D58" s="27" t="n">
        <f aca="false">D49*Assumptions!$D$57/100</f>
        <v>0.165669642857143</v>
      </c>
      <c r="E58" s="27" t="n">
        <f aca="false">E49*Assumptions!$D$57/100</f>
        <v>0.515491071428572</v>
      </c>
      <c r="F58" s="27" t="n">
        <f aca="false">F49*Assumptions!$D$57/100</f>
        <v>1.06794642857143</v>
      </c>
      <c r="G58" s="27" t="n">
        <f aca="false">G49*Assumptions!$D$57/100</f>
        <v>1.65736607142857</v>
      </c>
      <c r="H58" s="27" t="n">
        <f aca="false">H49*Assumptions!$D$57/100</f>
        <v>2.28375</v>
      </c>
      <c r="I58" s="27" t="n">
        <f aca="false">I49*Assumptions!$D$57/100</f>
        <v>2.750625</v>
      </c>
      <c r="J58" s="27" t="n">
        <f aca="false">J49*Assumptions!$D$57/100</f>
        <v>3.24214285714286</v>
      </c>
      <c r="K58" s="27" t="n">
        <f aca="false">K49*Assumptions!$D$57/100</f>
        <v>3.54950892857143</v>
      </c>
      <c r="L58" s="52" t="n">
        <f aca="false">SUM(D58:K58)</f>
        <v>15.2325</v>
      </c>
    </row>
    <row r="59" customFormat="false" ht="15" hidden="false" customHeight="false" outlineLevel="0" collapsed="false">
      <c r="A59" s="47" t="n">
        <v>47</v>
      </c>
      <c r="B59" s="21" t="s">
        <v>431</v>
      </c>
      <c r="C59" s="11" t="s">
        <v>338</v>
      </c>
      <c r="D59" s="27" t="n">
        <f aca="false">D57+D58</f>
        <v>0.443994642857143</v>
      </c>
      <c r="E59" s="27" t="n">
        <f aca="false">E57+E58</f>
        <v>1.38151607142857</v>
      </c>
      <c r="F59" s="27" t="n">
        <f aca="false">F57+F58</f>
        <v>2.86209642857143</v>
      </c>
      <c r="G59" s="27" t="n">
        <f aca="false">G57+G58</f>
        <v>4.44174107142857</v>
      </c>
      <c r="H59" s="27" t="n">
        <f aca="false">H57+H58</f>
        <v>6.12045</v>
      </c>
      <c r="I59" s="27" t="n">
        <f aca="false">I57+I58</f>
        <v>7.371675</v>
      </c>
      <c r="J59" s="27" t="n">
        <f aca="false">J57+J58</f>
        <v>8.68894285714286</v>
      </c>
      <c r="K59" s="27" t="n">
        <f aca="false">K57+K58</f>
        <v>9.51268392857143</v>
      </c>
      <c r="L59" s="52" t="n">
        <f aca="false">SUM(D59:K59)</f>
        <v>40.8231</v>
      </c>
    </row>
    <row r="60" customFormat="false" ht="15" hidden="false" customHeight="false" outlineLevel="0" collapsed="false">
      <c r="A60" s="47" t="n">
        <v>48</v>
      </c>
      <c r="B60" s="21" t="s">
        <v>432</v>
      </c>
      <c r="C60" s="11" t="s">
        <v>338</v>
      </c>
      <c r="D60" s="27" t="n">
        <f aca="false">D46*Assumptions!$D$63*3/100+D47*Assumptions!$D$64/100</f>
        <v>0.662678571428572</v>
      </c>
      <c r="E60" s="27" t="n">
        <f aca="false">E46*Assumptions!$D$63*3/100+E47*Assumptions!$D$64/100</f>
        <v>2.06196428571429</v>
      </c>
      <c r="F60" s="27" t="n">
        <f aca="false">F46*Assumptions!$D$63*3/100+F47*Assumptions!$D$64/100</f>
        <v>4.27178571428571</v>
      </c>
      <c r="G60" s="27" t="n">
        <f aca="false">G46*Assumptions!$D$63*3/100+G47*Assumptions!$D$64/100</f>
        <v>6.62946428571429</v>
      </c>
      <c r="H60" s="27" t="n">
        <f aca="false">H46*Assumptions!$D$63*3/100+H47*Assumptions!$D$64/100</f>
        <v>9.135</v>
      </c>
      <c r="I60" s="27" t="n">
        <f aca="false">I46*Assumptions!$D$63*3/100+I47*Assumptions!$D$64/100</f>
        <v>11.0025</v>
      </c>
      <c r="J60" s="27" t="n">
        <f aca="false">J46*Assumptions!$D$63*3/100+J47*Assumptions!$D$64/100</f>
        <v>12.9685714285714</v>
      </c>
      <c r="K60" s="27" t="n">
        <f aca="false">K46*Assumptions!$D$63*3/100+K47*Assumptions!$D$64/100</f>
        <v>14.1980357142857</v>
      </c>
      <c r="L60" s="52" t="n">
        <f aca="false">SUM(D60:K60)</f>
        <v>60.93</v>
      </c>
    </row>
    <row r="61" customFormat="false" ht="15" hidden="false" customHeight="false" outlineLevel="0" collapsed="false">
      <c r="A61" s="47" t="n">
        <v>49</v>
      </c>
      <c r="B61" s="19" t="s">
        <v>433</v>
      </c>
      <c r="C61" s="11" t="s">
        <v>338</v>
      </c>
      <c r="D61" s="52" t="n">
        <f aca="false">D56+D59-D60</f>
        <v>-0.18628630952381</v>
      </c>
      <c r="E61" s="52" t="n">
        <f aca="false">E56+E59-E60</f>
        <v>-0.5478325</v>
      </c>
      <c r="F61" s="52" t="n">
        <f aca="false">F56+F59-F60</f>
        <v>-1.07006357142857</v>
      </c>
      <c r="G61" s="52" t="n">
        <f aca="false">G56+G59-G60</f>
        <v>-1.5277875</v>
      </c>
      <c r="H61" s="52" t="n">
        <f aca="false">H56+H59-H60</f>
        <v>-1.91390714285714</v>
      </c>
      <c r="I61" s="52" t="n">
        <f aca="false">I56+I59-I60</f>
        <v>-2.00040214285714</v>
      </c>
      <c r="J61" s="52" t="n">
        <f aca="false">J56+J59-J60</f>
        <v>-2.02496666666667</v>
      </c>
      <c r="K61" s="52" t="n">
        <f aca="false">K56+K59-K60</f>
        <v>-1.74809130952381</v>
      </c>
      <c r="L61" s="52" t="n">
        <f aca="false">SUM(D61:K61)</f>
        <v>-11.0193371428571</v>
      </c>
    </row>
    <row r="62" customFormat="false" ht="15" hidden="false" customHeight="false" outlineLevel="0" collapsed="false">
      <c r="A62" s="45"/>
      <c r="B62" s="46" t="s">
        <v>434</v>
      </c>
      <c r="C62" s="45"/>
      <c r="D62" s="45"/>
      <c r="E62" s="45"/>
      <c r="F62" s="45"/>
      <c r="G62" s="45"/>
      <c r="H62" s="45"/>
      <c r="I62" s="45"/>
      <c r="J62" s="45"/>
      <c r="K62" s="45"/>
      <c r="L62" s="45"/>
    </row>
    <row r="63" customFormat="false" ht="15" hidden="false" customHeight="false" outlineLevel="0" collapsed="false">
      <c r="A63" s="47" t="n">
        <v>50</v>
      </c>
      <c r="B63" s="21" t="s">
        <v>435</v>
      </c>
      <c r="C63" s="11" t="s">
        <v>256</v>
      </c>
      <c r="D63" s="50" t="n">
        <f aca="false">Assumptions!D$81</f>
        <v>0</v>
      </c>
      <c r="E63" s="50" t="n">
        <f aca="false">Assumptions!E$81</f>
        <v>0.05</v>
      </c>
      <c r="F63" s="50" t="n">
        <f aca="false">Assumptions!F$81</f>
        <v>0.15</v>
      </c>
      <c r="G63" s="50" t="n">
        <f aca="false">Assumptions!G$81</f>
        <v>0.25</v>
      </c>
      <c r="H63" s="50" t="n">
        <f aca="false">Assumptions!H$81</f>
        <v>0.35</v>
      </c>
      <c r="I63" s="50" t="n">
        <f aca="false">Assumptions!I$81</f>
        <v>0.45</v>
      </c>
      <c r="J63" s="50" t="n">
        <f aca="false">Assumptions!J$81</f>
        <v>0.55</v>
      </c>
      <c r="K63" s="50" t="n">
        <f aca="false">Assumptions!K$81</f>
        <v>0.6</v>
      </c>
      <c r="L63" s="51" t="n">
        <f aca="false">K63</f>
        <v>0.6</v>
      </c>
    </row>
    <row r="64" customFormat="false" ht="15" hidden="false" customHeight="false" outlineLevel="0" collapsed="false">
      <c r="A64" s="47" t="n">
        <v>51</v>
      </c>
      <c r="B64" s="21" t="s">
        <v>436</v>
      </c>
      <c r="C64" s="11" t="s">
        <v>381</v>
      </c>
      <c r="D64" s="27" t="n">
        <f aca="false">D10*Assumptions!$D$67*D63*Assumptions!$D$68</f>
        <v>0</v>
      </c>
      <c r="E64" s="27" t="n">
        <f aca="false">E10*Assumptions!$D$67*E63*Assumptions!$D$68</f>
        <v>0.0916428571428572</v>
      </c>
      <c r="F64" s="27" t="n">
        <f aca="false">F10*Assumptions!$D$67*F63*Assumptions!$D$68</f>
        <v>0.284785714285714</v>
      </c>
      <c r="G64" s="27" t="n">
        <f aca="false">G10*Assumptions!$D$67*G63*Assumptions!$D$68</f>
        <v>0.491071428571429</v>
      </c>
      <c r="H64" s="27" t="n">
        <f aca="false">H10*Assumptions!$D$67*H63*Assumptions!$D$68</f>
        <v>0.7105</v>
      </c>
      <c r="I64" s="27" t="n">
        <f aca="false">I10*Assumptions!$D$67*I63*Assumptions!$D$68</f>
        <v>0.943071428571429</v>
      </c>
      <c r="J64" s="27" t="n">
        <f aca="false">J10*Assumptions!$D$67*J63*Assumptions!$D$68</f>
        <v>1.18878571428571</v>
      </c>
      <c r="K64" s="27" t="n">
        <f aca="false">K10*Assumptions!$D$67*K63*Assumptions!$D$68</f>
        <v>1.33628571428571</v>
      </c>
      <c r="L64" s="49" t="n">
        <f aca="false">K64</f>
        <v>1.33628571428571</v>
      </c>
    </row>
    <row r="65" customFormat="false" ht="15" hidden="false" customHeight="false" outlineLevel="0" collapsed="false">
      <c r="A65" s="47" t="n">
        <v>52</v>
      </c>
      <c r="B65" s="21" t="s">
        <v>437</v>
      </c>
      <c r="C65" s="11" t="s">
        <v>381</v>
      </c>
      <c r="D65" s="27" t="n">
        <f aca="false">D64*Assumptions!$D$69*3</f>
        <v>0</v>
      </c>
      <c r="E65" s="27" t="n">
        <f aca="false">E64*Assumptions!$D$69*3</f>
        <v>0.549857142857143</v>
      </c>
      <c r="F65" s="27" t="n">
        <f aca="false">F64*Assumptions!$D$69*3</f>
        <v>1.70871428571429</v>
      </c>
      <c r="G65" s="27" t="n">
        <f aca="false">G64*Assumptions!$D$69*3</f>
        <v>2.94642857142857</v>
      </c>
      <c r="H65" s="27" t="n">
        <f aca="false">H64*Assumptions!$D$69*3</f>
        <v>4.263</v>
      </c>
      <c r="I65" s="27" t="n">
        <f aca="false">I64*Assumptions!$D$69*3</f>
        <v>5.65842857142857</v>
      </c>
      <c r="J65" s="27" t="n">
        <f aca="false">J64*Assumptions!$D$69*3</f>
        <v>7.13271428571429</v>
      </c>
      <c r="K65" s="27" t="n">
        <f aca="false">K64*Assumptions!$D$69*3</f>
        <v>8.01771428571429</v>
      </c>
      <c r="L65" s="52" t="n">
        <f aca="false">SUM(D65:K65)</f>
        <v>30.2768571428571</v>
      </c>
    </row>
    <row r="66" customFormat="false" ht="15" hidden="false" customHeight="false" outlineLevel="0" collapsed="false">
      <c r="A66" s="47" t="n">
        <v>53</v>
      </c>
      <c r="B66" s="21" t="s">
        <v>438</v>
      </c>
      <c r="C66" s="11" t="s">
        <v>338</v>
      </c>
      <c r="D66" s="38" t="n">
        <f aca="false">D65*Assumptions!$D$70/100*Assumptions!$D$71</f>
        <v>0</v>
      </c>
      <c r="E66" s="38" t="n">
        <f aca="false">E65*Assumptions!$D$70/100*Assumptions!$D$71</f>
        <v>0.412392857142857</v>
      </c>
      <c r="F66" s="38" t="n">
        <f aca="false">F65*Assumptions!$D$70/100*Assumptions!$D$71</f>
        <v>1.28153571428571</v>
      </c>
      <c r="G66" s="38" t="n">
        <f aca="false">G65*Assumptions!$D$70/100*Assumptions!$D$71</f>
        <v>2.20982142857143</v>
      </c>
      <c r="H66" s="38" t="n">
        <f aca="false">H65*Assumptions!$D$70/100*Assumptions!$D$71</f>
        <v>3.19725</v>
      </c>
      <c r="I66" s="38" t="n">
        <f aca="false">I65*Assumptions!$D$70/100*Assumptions!$D$71</f>
        <v>4.24382142857143</v>
      </c>
      <c r="J66" s="38" t="n">
        <f aca="false">J65*Assumptions!$D$70/100*Assumptions!$D$71</f>
        <v>5.34953571428571</v>
      </c>
      <c r="K66" s="38" t="n">
        <f aca="false">K65*Assumptions!$D$70/100*Assumptions!$D$71</f>
        <v>6.01328571428572</v>
      </c>
      <c r="L66" s="55" t="n">
        <f aca="false">SUM(D66:K66)</f>
        <v>22.7076428571429</v>
      </c>
    </row>
    <row r="67" customFormat="false" ht="15" hidden="false" customHeight="false" outlineLevel="0" collapsed="false">
      <c r="A67" s="47" t="n">
        <v>54</v>
      </c>
      <c r="B67" s="21" t="s">
        <v>439</v>
      </c>
      <c r="C67" s="11" t="s">
        <v>338</v>
      </c>
      <c r="D67" s="27" t="n">
        <f aca="false">D65*Assumptions!$D$72/100+D66*Assumptions!$D$6</f>
        <v>0</v>
      </c>
      <c r="E67" s="27" t="n">
        <f aca="false">E65*Assumptions!$D$72/100+E66*Assumptions!$D$6</f>
        <v>0.0441535285714286</v>
      </c>
      <c r="F67" s="27" t="n">
        <f aca="false">F65*Assumptions!$D$72/100+F66*Assumptions!$D$6</f>
        <v>0.137209757142857</v>
      </c>
      <c r="G67" s="27" t="n">
        <f aca="false">G65*Assumptions!$D$72/100+G66*Assumptions!$D$6</f>
        <v>0.236598214285714</v>
      </c>
      <c r="H67" s="27" t="n">
        <f aca="false">H65*Assumptions!$D$72/100+H66*Assumptions!$D$6</f>
        <v>0.3423189</v>
      </c>
      <c r="I67" s="27" t="n">
        <f aca="false">I65*Assumptions!$D$72/100+I66*Assumptions!$D$6</f>
        <v>0.454371814285714</v>
      </c>
      <c r="J67" s="27" t="n">
        <f aca="false">J65*Assumptions!$D$72/100+J66*Assumptions!$D$6</f>
        <v>0.572756957142857</v>
      </c>
      <c r="K67" s="27" t="n">
        <f aca="false">K65*Assumptions!$D$72/100+K66*Assumptions!$D$6</f>
        <v>0.643822457142857</v>
      </c>
      <c r="L67" s="52" t="n">
        <f aca="false">SUM(D67:K67)</f>
        <v>2.43123162857143</v>
      </c>
    </row>
    <row r="68" customFormat="false" ht="15" hidden="false" customHeight="false" outlineLevel="0" collapsed="false">
      <c r="A68" s="47" t="n">
        <v>55</v>
      </c>
      <c r="B68" s="21" t="s">
        <v>440</v>
      </c>
      <c r="C68" s="11" t="s">
        <v>338</v>
      </c>
      <c r="D68" s="27" t="n">
        <f aca="false">D65*Assumptions!$D$73/100</f>
        <v>0</v>
      </c>
      <c r="E68" s="27" t="n">
        <f aca="false">E65*Assumptions!$D$73/100</f>
        <v>0.0274928571428572</v>
      </c>
      <c r="F68" s="27" t="n">
        <f aca="false">F65*Assumptions!$D$73/100</f>
        <v>0.0854357142857143</v>
      </c>
      <c r="G68" s="27" t="n">
        <f aca="false">G65*Assumptions!$D$73/100</f>
        <v>0.147321428571429</v>
      </c>
      <c r="H68" s="27" t="n">
        <f aca="false">H65*Assumptions!$D$73/100</f>
        <v>0.21315</v>
      </c>
      <c r="I68" s="27" t="n">
        <f aca="false">I65*Assumptions!$D$73/100</f>
        <v>0.282921428571429</v>
      </c>
      <c r="J68" s="27" t="n">
        <f aca="false">J65*Assumptions!$D$73/100</f>
        <v>0.356635714285714</v>
      </c>
      <c r="K68" s="27" t="n">
        <f aca="false">K65*Assumptions!$D$73/100</f>
        <v>0.400885714285714</v>
      </c>
      <c r="L68" s="52" t="n">
        <f aca="false">SUM(D68:K68)</f>
        <v>1.51384285714286</v>
      </c>
    </row>
    <row r="69" customFormat="false" ht="15" hidden="false" customHeight="false" outlineLevel="0" collapsed="false">
      <c r="A69" s="47" t="n">
        <v>56</v>
      </c>
      <c r="B69" s="21" t="s">
        <v>441</v>
      </c>
      <c r="C69" s="11" t="s">
        <v>338</v>
      </c>
      <c r="D69" s="27" t="n">
        <f aca="false">D64*Assumptions!$D$74*3/100+D65*Assumptions!$D$75/100</f>
        <v>0</v>
      </c>
      <c r="E69" s="27" t="n">
        <f aca="false">E64*Assumptions!$D$74*3/100+E65*Assumptions!$D$75/100</f>
        <v>0.03849</v>
      </c>
      <c r="F69" s="27" t="n">
        <f aca="false">F64*Assumptions!$D$74*3/100+F65*Assumptions!$D$75/100</f>
        <v>0.11961</v>
      </c>
      <c r="G69" s="27" t="n">
        <f aca="false">G64*Assumptions!$D$74*3/100+G65*Assumptions!$D$75/100</f>
        <v>0.20625</v>
      </c>
      <c r="H69" s="27" t="n">
        <f aca="false">H64*Assumptions!$D$74*3/100+H65*Assumptions!$D$75/100</f>
        <v>0.29841</v>
      </c>
      <c r="I69" s="27" t="n">
        <f aca="false">I64*Assumptions!$D$74*3/100+I65*Assumptions!$D$75/100</f>
        <v>0.39609</v>
      </c>
      <c r="J69" s="27" t="n">
        <f aca="false">J64*Assumptions!$D$74*3/100+J65*Assumptions!$D$75/100</f>
        <v>0.49929</v>
      </c>
      <c r="K69" s="27" t="n">
        <f aca="false">K64*Assumptions!$D$74*3/100+K65*Assumptions!$D$75/100</f>
        <v>0.56124</v>
      </c>
      <c r="L69" s="52" t="n">
        <f aca="false">SUM(D69:K69)</f>
        <v>2.11938</v>
      </c>
    </row>
    <row r="70" customFormat="false" ht="15" hidden="false" customHeight="false" outlineLevel="0" collapsed="false">
      <c r="A70" s="47" t="n">
        <v>57</v>
      </c>
      <c r="B70" s="21" t="s">
        <v>442</v>
      </c>
      <c r="C70" s="11" t="s">
        <v>338</v>
      </c>
      <c r="D70" s="27" t="n">
        <f aca="false">D67+D68-D69</f>
        <v>0</v>
      </c>
      <c r="E70" s="27" t="n">
        <f aca="false">E67+E68-E69</f>
        <v>0.0331563857142857</v>
      </c>
      <c r="F70" s="27" t="n">
        <f aca="false">F67+F68-F69</f>
        <v>0.103035471428571</v>
      </c>
      <c r="G70" s="27" t="n">
        <f aca="false">G67+G68-G69</f>
        <v>0.177669642857143</v>
      </c>
      <c r="H70" s="27" t="n">
        <f aca="false">H67+H68-H69</f>
        <v>0.2570589</v>
      </c>
      <c r="I70" s="27" t="n">
        <f aca="false">I67+I68-I69</f>
        <v>0.341203242857143</v>
      </c>
      <c r="J70" s="27" t="n">
        <f aca="false">J67+J68-J69</f>
        <v>0.430102671428572</v>
      </c>
      <c r="K70" s="27" t="n">
        <f aca="false">K67+K68-K69</f>
        <v>0.483468171428572</v>
      </c>
      <c r="L70" s="52" t="n">
        <f aca="false">SUM(D70:K70)</f>
        <v>1.82569448571429</v>
      </c>
    </row>
    <row r="71" customFormat="false" ht="15" hidden="false" customHeight="false" outlineLevel="0" collapsed="false">
      <c r="A71" s="45"/>
      <c r="B71" s="46" t="s">
        <v>443</v>
      </c>
      <c r="C71" s="45"/>
      <c r="D71" s="45"/>
      <c r="E71" s="45"/>
      <c r="F71" s="45"/>
      <c r="G71" s="45"/>
      <c r="H71" s="45"/>
      <c r="I71" s="45"/>
      <c r="J71" s="45"/>
      <c r="K71" s="45"/>
      <c r="L71" s="45"/>
    </row>
    <row r="72" customFormat="false" ht="15" hidden="false" customHeight="false" outlineLevel="0" collapsed="false">
      <c r="A72" s="47" t="n">
        <v>58</v>
      </c>
      <c r="B72" s="19" t="s">
        <v>444</v>
      </c>
      <c r="C72" s="11" t="s">
        <v>338</v>
      </c>
      <c r="D72" s="54" t="n">
        <f aca="false">D18+D19+D51+D53+D66*Assumptions!$D$66</f>
        <v>27.7146904761905</v>
      </c>
      <c r="E72" s="54" t="n">
        <f aca="false">E18+E19+E51+E53+E66*Assumptions!$D$66</f>
        <v>102.140214285714</v>
      </c>
      <c r="F72" s="54" t="n">
        <f aca="false">F18+F19+F51+F53+F66*Assumptions!$D$66</f>
        <v>244.047</v>
      </c>
      <c r="G72" s="54" t="n">
        <f aca="false">G18+G19+G51+G53+G66*Assumptions!$D$66</f>
        <v>456.664285714286</v>
      </c>
      <c r="H72" s="54" t="n">
        <f aca="false">H18+H19+H51+H53+H66*Assumptions!$D$66</f>
        <v>744.693928571429</v>
      </c>
      <c r="I72" s="54" t="n">
        <f aca="false">I18+I19+I51+I53+I66*Assumptions!$D$66</f>
        <v>1079.97</v>
      </c>
      <c r="J72" s="54" t="n">
        <f aca="false">J18+J19+J51+J53+J66*Assumptions!$D$66</f>
        <v>1466.49511904762</v>
      </c>
      <c r="K72" s="54" t="n">
        <f aca="false">K18+K19+K51+K53+K66*Assumptions!$D$66</f>
        <v>1884.73476190476</v>
      </c>
      <c r="L72" s="54" t="n">
        <f aca="false">SUM(D72:K72)</f>
        <v>6006.46</v>
      </c>
    </row>
    <row r="73" customFormat="false" ht="15" hidden="false" customHeight="false" outlineLevel="0" collapsed="false">
      <c r="A73" s="47" t="n">
        <v>59</v>
      </c>
      <c r="B73" s="21" t="s">
        <v>444</v>
      </c>
      <c r="C73" s="11" t="s">
        <v>445</v>
      </c>
      <c r="D73" s="56" t="n">
        <f aca="false">D72/100000</f>
        <v>0.000277146904761905</v>
      </c>
      <c r="E73" s="56" t="n">
        <f aca="false">E72/100000</f>
        <v>0.00102140214285714</v>
      </c>
      <c r="F73" s="56" t="n">
        <f aca="false">F72/100000</f>
        <v>0.00244047</v>
      </c>
      <c r="G73" s="56" t="n">
        <f aca="false">G72/100000</f>
        <v>0.00456664285714286</v>
      </c>
      <c r="H73" s="56" t="n">
        <f aca="false">H72/100000</f>
        <v>0.00744693928571429</v>
      </c>
      <c r="I73" s="56" t="n">
        <f aca="false">I72/100000</f>
        <v>0.0107997</v>
      </c>
      <c r="J73" s="56" t="n">
        <f aca="false">J72/100000</f>
        <v>0.0146649511904762</v>
      </c>
      <c r="K73" s="56" t="n">
        <f aca="false">K72/100000</f>
        <v>0.0188473476190476</v>
      </c>
      <c r="L73" s="57" t="n">
        <f aca="false">SUM(D73:K73)</f>
        <v>0.0600646</v>
      </c>
    </row>
    <row r="74" customFormat="false" ht="15" hidden="false" customHeight="false" outlineLevel="0" collapsed="false">
      <c r="A74" s="47" t="n">
        <v>60</v>
      </c>
      <c r="B74" s="21" t="s">
        <v>446</v>
      </c>
      <c r="C74" s="11" t="s">
        <v>445</v>
      </c>
      <c r="D74" s="48" t="n">
        <f aca="false">Baseline!E15</f>
        <v>7.94869047619048</v>
      </c>
      <c r="E74" s="48" t="n">
        <f aca="false">Baseline!E16</f>
        <v>8.29714285714286</v>
      </c>
      <c r="F74" s="48" t="n">
        <f aca="false">Baseline!E17</f>
        <v>8.64559523809524</v>
      </c>
      <c r="G74" s="48" t="n">
        <f aca="false">Baseline!E18</f>
        <v>8.99404761904762</v>
      </c>
      <c r="H74" s="48" t="n">
        <f aca="false">Baseline!E19</f>
        <v>9.3425</v>
      </c>
      <c r="I74" s="48" t="n">
        <f aca="false">Baseline!E20</f>
        <v>9.69095238095238</v>
      </c>
      <c r="J74" s="48" t="n">
        <f aca="false">Baseline!E21</f>
        <v>10.0394047619048</v>
      </c>
      <c r="K74" s="48" t="n">
        <f aca="false">Baseline!E22</f>
        <v>10.3878571428571</v>
      </c>
      <c r="L74" s="52" t="n">
        <f aca="false">SUM(D74:K74)</f>
        <v>73.3461904761905</v>
      </c>
    </row>
    <row r="75" customFormat="false" ht="15" hidden="false" customHeight="false" outlineLevel="0" collapsed="false">
      <c r="A75" s="47" t="n">
        <v>61</v>
      </c>
      <c r="B75" s="21" t="s">
        <v>447</v>
      </c>
      <c r="C75" s="11" t="s">
        <v>448</v>
      </c>
      <c r="D75" s="58" t="n">
        <f aca="false">IF(D74&gt;0,D73/D74,0)</f>
        <v>3.48669891716216E-005</v>
      </c>
      <c r="E75" s="58" t="n">
        <f aca="false">IF(E74&gt;0,E73/E74,0)</f>
        <v>0.000123102875344353</v>
      </c>
      <c r="F75" s="58" t="n">
        <f aca="false">IF(F74&gt;0,F73/F74,0)</f>
        <v>0.000282279002519863</v>
      </c>
      <c r="G75" s="58" t="n">
        <f aca="false">IF(G74&gt;0,G73/G74,0)</f>
        <v>0.000507740569159497</v>
      </c>
      <c r="H75" s="58" t="n">
        <f aca="false">IF(H74&gt;0,H73/H74,0)</f>
        <v>0.000797103482549027</v>
      </c>
      <c r="I75" s="58" t="n">
        <f aca="false">IF(I74&gt;0,I73/I74,0)</f>
        <v>0.001114410594074</v>
      </c>
      <c r="J75" s="58" t="n">
        <f aca="false">IF(J74&gt;0,J73/J74,0)</f>
        <v>0.00146073911135881</v>
      </c>
      <c r="K75" s="58" t="n">
        <f aca="false">IF(K74&gt;0,K73/K74,0)</f>
        <v>0.00181436338215407</v>
      </c>
      <c r="L75" s="59" t="n">
        <f aca="false">IF(L74&gt;0,L73/L74,0)</f>
        <v>0.000818919150538542</v>
      </c>
    </row>
    <row r="76" customFormat="false" ht="15" hidden="false" customHeight="false" outlineLevel="0" collapsed="false">
      <c r="A76" s="47" t="n">
        <v>62</v>
      </c>
      <c r="B76" s="21" t="s">
        <v>449</v>
      </c>
      <c r="C76" s="11" t="s">
        <v>338</v>
      </c>
      <c r="D76" s="27" t="n">
        <f aca="false">D35+D56+D67*Assumptions!$D$66</f>
        <v>0.0586469799404762</v>
      </c>
      <c r="E76" s="27" t="n">
        <f aca="false">E35+E56+E67*Assumptions!$D$66</f>
        <v>0.214292181607143</v>
      </c>
      <c r="F76" s="27" t="n">
        <f aca="false">F35+F56+F67*Assumptions!$D$66</f>
        <v>0.508835418214286</v>
      </c>
      <c r="G76" s="27" t="n">
        <f aca="false">G35+G56+G67*Assumptions!$D$66</f>
        <v>0.951713169642857</v>
      </c>
      <c r="H76" s="27" t="n">
        <f aca="false">H35+H56+H67*Assumptions!$D$66</f>
        <v>1.55295096339286</v>
      </c>
      <c r="I76" s="27" t="n">
        <f aca="false">I35+I56+I67*Assumptions!$D$66</f>
        <v>2.25302289642857</v>
      </c>
      <c r="J76" s="27" t="n">
        <f aca="false">J35+J56+J67*Assumptions!$D$66</f>
        <v>3.05731515922619</v>
      </c>
      <c r="K76" s="27" t="n">
        <f aca="false">K35+K56+K67*Assumptions!$D$66</f>
        <v>3.92972822797619</v>
      </c>
      <c r="L76" s="52" t="n">
        <f aca="false">SUM(D76:K76)</f>
        <v>12.5265049964286</v>
      </c>
    </row>
    <row r="77" customFormat="false" ht="15" hidden="false" customHeight="false" outlineLevel="0" collapsed="false">
      <c r="A77" s="47" t="n">
        <v>63</v>
      </c>
      <c r="B77" s="21" t="s">
        <v>441</v>
      </c>
      <c r="C77" s="11" t="s">
        <v>338</v>
      </c>
      <c r="D77" s="27" t="n">
        <f aca="false">D41+D60+D69*Assumptions!$D$66</f>
        <v>0.964947804910714</v>
      </c>
      <c r="E77" s="27" t="n">
        <f aca="false">E41+E60+E69*Assumptions!$D$66</f>
        <v>2.79043606741071</v>
      </c>
      <c r="F77" s="27" t="n">
        <f aca="false">F41+F60+F69*Assumptions!$D$66</f>
        <v>5.56045744017857</v>
      </c>
      <c r="G77" s="27" t="n">
        <f aca="false">G41+G60+G69*Assumptions!$D$66</f>
        <v>8.62239743303572</v>
      </c>
      <c r="H77" s="27" t="n">
        <f aca="false">H41+H60+H69*Assumptions!$D$66</f>
        <v>11.9863201272321</v>
      </c>
      <c r="I77" s="27" t="n">
        <f aca="false">I41+I60+I69*Assumptions!$D$66</f>
        <v>14.5179254732143</v>
      </c>
      <c r="J77" s="27" t="n">
        <f aca="false">J41+J60+J69*Assumptions!$D$66</f>
        <v>17.1816491852679</v>
      </c>
      <c r="K77" s="27" t="n">
        <f aca="false">K41+K60+K69*Assumptions!$D$66</f>
        <v>19.1423126919643</v>
      </c>
      <c r="L77" s="52" t="n">
        <f aca="false">SUM(D77:K77)</f>
        <v>80.7664462232143</v>
      </c>
    </row>
    <row r="78" customFormat="false" ht="15" hidden="false" customHeight="false" outlineLevel="0" collapsed="false">
      <c r="A78" s="47" t="n">
        <v>64</v>
      </c>
      <c r="B78" s="21" t="s">
        <v>450</v>
      </c>
      <c r="C78" s="11" t="s">
        <v>338</v>
      </c>
      <c r="D78" s="27" t="n">
        <f aca="false">D59+D68*Assumptions!$D$66</f>
        <v>0.443994642857143</v>
      </c>
      <c r="E78" s="27" t="n">
        <f aca="false">E59+E68*Assumptions!$D$66</f>
        <v>1.38151607142857</v>
      </c>
      <c r="F78" s="27" t="n">
        <f aca="false">F59+F68*Assumptions!$D$66</f>
        <v>2.86209642857143</v>
      </c>
      <c r="G78" s="27" t="n">
        <f aca="false">G59+G68*Assumptions!$D$66</f>
        <v>4.44174107142857</v>
      </c>
      <c r="H78" s="27" t="n">
        <f aca="false">H59+H68*Assumptions!$D$66</f>
        <v>6.12045</v>
      </c>
      <c r="I78" s="27" t="n">
        <f aca="false">I59+I68*Assumptions!$D$66</f>
        <v>7.371675</v>
      </c>
      <c r="J78" s="27" t="n">
        <f aca="false">J59+J68*Assumptions!$D$66</f>
        <v>8.68894285714286</v>
      </c>
      <c r="K78" s="27" t="n">
        <f aca="false">K59+K68*Assumptions!$D$66</f>
        <v>9.51268392857143</v>
      </c>
      <c r="L78" s="52" t="n">
        <f aca="false">SUM(D78:K78)</f>
        <v>40.8231</v>
      </c>
    </row>
    <row r="79" customFormat="false" ht="15" hidden="false" customHeight="false" outlineLevel="0" collapsed="false">
      <c r="A79" s="47" t="n">
        <v>65</v>
      </c>
      <c r="B79" s="19" t="s">
        <v>451</v>
      </c>
      <c r="C79" s="11" t="s">
        <v>338</v>
      </c>
      <c r="D79" s="52" t="n">
        <f aca="false">D76-D77+D78</f>
        <v>-0.462306182113095</v>
      </c>
      <c r="E79" s="52" t="n">
        <f aca="false">E76-E77+E78</f>
        <v>-1.194627814375</v>
      </c>
      <c r="F79" s="52" t="n">
        <f aca="false">F76-F77+F78</f>
        <v>-2.18952559339286</v>
      </c>
      <c r="G79" s="52" t="n">
        <f aca="false">G76-G77+G78</f>
        <v>-3.22894319196429</v>
      </c>
      <c r="H79" s="52" t="n">
        <f aca="false">H76-H77+H78</f>
        <v>-4.31291916383929</v>
      </c>
      <c r="I79" s="52" t="n">
        <f aca="false">I76-I77+I78</f>
        <v>-4.89322757678572</v>
      </c>
      <c r="J79" s="52" t="n">
        <f aca="false">J76-J77+J78</f>
        <v>-5.43539116889881</v>
      </c>
      <c r="K79" s="52" t="n">
        <f aca="false">K76-K77+K78</f>
        <v>-5.69990053541667</v>
      </c>
      <c r="L79" s="52" t="n">
        <f aca="false">SUM(D79:K79)</f>
        <v>-27.4168412267857</v>
      </c>
    </row>
    <row r="80" customFormat="false" ht="15" hidden="false" customHeight="false" outlineLevel="0" collapsed="false">
      <c r="A80" s="47" t="n">
        <v>66</v>
      </c>
      <c r="B80" s="19" t="s">
        <v>452</v>
      </c>
      <c r="C80" s="11" t="s">
        <v>448</v>
      </c>
      <c r="D80" s="60" t="n">
        <f aca="false">IF(D76&gt;0,(D76-D77)/D76,0)</f>
        <v>-15.4534952335157</v>
      </c>
      <c r="E80" s="60" t="n">
        <f aca="false">IF(E76&gt;0,(E76-E77)/E76,0)</f>
        <v>-12.0216419772438</v>
      </c>
      <c r="F80" s="60" t="n">
        <f aca="false">IF(F76&gt;0,(F76-F77)/F76,0)</f>
        <v>-9.92781131410333</v>
      </c>
      <c r="G80" s="60" t="n">
        <f aca="false">IF(G76&gt;0,(G76-G77)/G76,0)</f>
        <v>-8.05986983060388</v>
      </c>
      <c r="H80" s="60" t="n">
        <f aca="false">IF(H76&gt;0,(H76-H77)/H76,0)</f>
        <v>-6.7184150754153</v>
      </c>
      <c r="I80" s="60" t="n">
        <f aca="false">IF(I76&gt;0,(I76-I77)/I76,0)</f>
        <v>-5.44375407645776</v>
      </c>
      <c r="J80" s="60" t="n">
        <f aca="false">IF(J76&gt;0,(J76-J77)/J76,0)</f>
        <v>-4.61984888388692</v>
      </c>
      <c r="K80" s="60" t="n">
        <f aca="false">IF(K76&gt;0,(K76-K77)/K76,0)</f>
        <v>-3.87115433471657</v>
      </c>
      <c r="L80" s="60" t="n">
        <f aca="false">IF(L76&gt;0,(L76-L77)/L76,0)</f>
        <v>-5.44764411511763</v>
      </c>
    </row>
    <row r="81" customFormat="false" ht="15" hidden="false" customHeight="false" outlineLevel="0" collapsed="false">
      <c r="A81" s="47" t="n">
        <v>67</v>
      </c>
      <c r="B81" s="21" t="s">
        <v>453</v>
      </c>
      <c r="C81" s="11" t="s">
        <v>448</v>
      </c>
      <c r="D81" s="26" t="n">
        <f aca="false">IF((D76+D78)&gt;0,D79/(D76+D78),0)</f>
        <v>-0.919753082802766</v>
      </c>
      <c r="E81" s="26" t="n">
        <f aca="false">IF((E76+E78)&gt;0,E79/(E76+E78),0)</f>
        <v>-0.748603607045178</v>
      </c>
      <c r="F81" s="26" t="n">
        <f aca="false">IF((F76+F78)&gt;0,F79/(F76+F78),0)</f>
        <v>-0.649531255127758</v>
      </c>
      <c r="G81" s="26" t="n">
        <f aca="false">IF((G76+G78)&gt;0,G79/(G76+G78),0)</f>
        <v>-0.598678147183621</v>
      </c>
      <c r="H81" s="26" t="n">
        <f aca="false">IF((H76+H78)&gt;0,H79/(H76+H78),0)</f>
        <v>-0.562060966762291</v>
      </c>
      <c r="I81" s="26" t="n">
        <f aca="false">IF((I76+I78)&gt;0,I79/(I76+I78),0)</f>
        <v>-0.508403238152695</v>
      </c>
      <c r="J81" s="26" t="n">
        <f aca="false">IF((J76+J78)&gt;0,J79/(J76+J78),0)</f>
        <v>-0.462733847777249</v>
      </c>
      <c r="K81" s="26" t="n">
        <f aca="false">IF((K76+K78)&gt;0,K79/(K76+K78),0)</f>
        <v>-0.424023640179811</v>
      </c>
      <c r="L81" s="60" t="n">
        <f aca="false">IF((L76+L78)&gt;0,L79/(L76+L78),0)</f>
        <v>-0.51390898261798</v>
      </c>
    </row>
    <row r="82" customFormat="false" ht="15" hidden="false" customHeight="false" outlineLevel="0" collapsed="false">
      <c r="A82" s="47" t="n">
        <v>68</v>
      </c>
      <c r="B82" s="21" t="s">
        <v>454</v>
      </c>
      <c r="C82" s="11" t="s">
        <v>448</v>
      </c>
      <c r="D82" s="26" t="n">
        <f aca="false">IF(D35&gt;0,D42/D35,0)</f>
        <v>-10.5152987806417</v>
      </c>
      <c r="E82" s="26" t="n">
        <f aca="false">IF(E35&gt;0,E42/E35,0)</f>
        <v>-7.91899228243564</v>
      </c>
      <c r="F82" s="26" t="n">
        <f aca="false">IF(F35&gt;0,F42/F35,0)</f>
        <v>-6.61582637386355</v>
      </c>
      <c r="G82" s="26" t="n">
        <f aca="false">IF(G35&gt;0,G42/G35,0)</f>
        <v>-5.83031917213079</v>
      </c>
      <c r="H82" s="26" t="n">
        <f aca="false">IF(H35&gt;0,H42/H35,0)</f>
        <v>-5.3039332875811</v>
      </c>
      <c r="I82" s="26" t="n">
        <f aca="false">IF(I35&gt;0,I42/I35,0)</f>
        <v>-4.64636243397511</v>
      </c>
      <c r="J82" s="26" t="n">
        <f aca="false">IF(J35&gt;0,J42/J35,0)</f>
        <v>-4.24893873321221</v>
      </c>
      <c r="K82" s="26" t="n">
        <f aca="false">IF(K35&gt;0,K42/K35,0)</f>
        <v>-3.98180114042244</v>
      </c>
      <c r="L82" s="60" t="n">
        <f aca="false">IF(L35&gt;0,L42/L35,0)</f>
        <v>-4.76818260377432</v>
      </c>
    </row>
    <row r="83" customFormat="false" ht="15" hidden="false" customHeight="false" outlineLevel="0" collapsed="false">
      <c r="A83" s="47" t="n">
        <v>69</v>
      </c>
      <c r="B83" s="21" t="s">
        <v>455</v>
      </c>
      <c r="C83" s="11" t="s">
        <v>456</v>
      </c>
      <c r="D83" s="38" t="n">
        <f aca="false">IF(D60&gt;0,(D59+D56)/D60,0)</f>
        <v>0.718888888888889</v>
      </c>
      <c r="E83" s="38" t="n">
        <f aca="false">IF(E60&gt;0,(E59+E56)/E60,0)</f>
        <v>0.734315233393955</v>
      </c>
      <c r="F83" s="38" t="n">
        <f aca="false">IF(F60&gt;0,(F59+F56)/F60,0)</f>
        <v>0.749504389265112</v>
      </c>
      <c r="G83" s="38" t="n">
        <f aca="false">IF(G60&gt;0,(G59+G56)/G60,0)</f>
        <v>0.769545858585859</v>
      </c>
      <c r="H83" s="38" t="n">
        <f aca="false">IF(H60&gt;0,(H59+H56)/H60,0)</f>
        <v>0.790486355461725</v>
      </c>
      <c r="I83" s="38" t="n">
        <f aca="false">IF(I60&gt;0,(I59+I56)/I60,0)</f>
        <v>0.818186580971857</v>
      </c>
      <c r="J83" s="38" t="n">
        <f aca="false">IF(J60&gt;0,(J59+J56)/J60,0)</f>
        <v>0.843855841962253</v>
      </c>
      <c r="K83" s="38" t="n">
        <f aca="false">IF(K60&gt;0,(K59+K56)/K60,0)</f>
        <v>0.876877946731397</v>
      </c>
      <c r="L83" s="55" t="n">
        <f aca="false">IF(L60&gt;0,(L59+L56)/L60,0)</f>
        <v>0.819147593256899</v>
      </c>
    </row>
    <row r="84" customFormat="false" ht="15" hidden="false" customHeight="false" outlineLevel="0" collapsed="false">
      <c r="A84" s="47" t="n">
        <v>70</v>
      </c>
      <c r="B84" s="21" t="s">
        <v>457</v>
      </c>
      <c r="C84" s="11" t="s">
        <v>448</v>
      </c>
      <c r="D84" s="26" t="n">
        <f aca="false">IF(D72&gt;0,D18/D72,0)</f>
        <v>0.344314558979809</v>
      </c>
      <c r="E84" s="26" t="n">
        <f aca="false">IF(E72&gt;0,E18/E72,0)</f>
        <v>0.29070122793387</v>
      </c>
      <c r="F84" s="26" t="n">
        <f aca="false">IF(F72&gt;0,F18/F72,0)</f>
        <v>0.252056834485629</v>
      </c>
      <c r="G84" s="26" t="n">
        <f aca="false">IF(G72&gt;0,G18/G72,0)</f>
        <v>0.232274412275351</v>
      </c>
      <c r="H84" s="26" t="n">
        <f aca="false">IF(H72&gt;0,H18/H72,0)</f>
        <v>0.22080212244436</v>
      </c>
      <c r="I84" s="26" t="n">
        <f aca="false">IF(I72&gt;0,I18/I72,0)</f>
        <v>0.209577250161711</v>
      </c>
      <c r="J84" s="26" t="n">
        <f aca="false">IF(J72&gt;0,J18/J72,0)</f>
        <v>0.198972948053421</v>
      </c>
      <c r="K84" s="26" t="n">
        <f aca="false">IF(K72&gt;0,K18/K72,0)</f>
        <v>0.191431256084284</v>
      </c>
      <c r="L84" s="60" t="n">
        <f aca="false">IF(L72&gt;0,L18/L72,0)</f>
        <v>0.208138761076765</v>
      </c>
    </row>
    <row r="85" customFormat="false" ht="15" hidden="false" customHeight="false" outlineLevel="0" collapsed="false">
      <c r="A85" s="47" t="n">
        <v>71</v>
      </c>
      <c r="B85" s="21" t="s">
        <v>458</v>
      </c>
      <c r="C85" s="11" t="s">
        <v>39</v>
      </c>
      <c r="D85" s="27" t="n">
        <f aca="false">IF(D10&gt;0,D79*100/D10/3,0)</f>
        <v>-0.0872040763888889</v>
      </c>
      <c r="E85" s="27" t="n">
        <f aca="false">IF(E10&gt;0,E79*100/E10/3,0)</f>
        <v>-0.217261488714601</v>
      </c>
      <c r="F85" s="27" t="n">
        <f aca="false">IF(F10&gt;0,F79*100/F10/3,0)</f>
        <v>-0.384416331922498</v>
      </c>
      <c r="G85" s="27" t="n">
        <f aca="false">IF(G10&gt;0,G79*100/G10/3,0)</f>
        <v>-0.547941875</v>
      </c>
      <c r="H85" s="27" t="n">
        <f aca="false">IF(H10&gt;0,H79*100/H10/3,0)</f>
        <v>-0.708196907034365</v>
      </c>
      <c r="I85" s="27" t="n">
        <f aca="false">IF(I10&gt;0,I79*100/I10/3,0)</f>
        <v>-0.778291139229721</v>
      </c>
      <c r="J85" s="27" t="n">
        <f aca="false">IF(J10&gt;0,J79*100/J10/3,0)</f>
        <v>-0.83824054157946</v>
      </c>
      <c r="K85" s="27" t="n">
        <f aca="false">IF(K10&gt;0,K79*100/K10/3,0)</f>
        <v>-0.853096081845556</v>
      </c>
      <c r="L85" s="49" t="n">
        <f aca="false">K85</f>
        <v>-0.853096081845556</v>
      </c>
    </row>
    <row r="86" customFormat="false" ht="15" hidden="false" customHeight="false" outlineLevel="0" collapsed="false">
      <c r="A86" s="47" t="n">
        <v>72</v>
      </c>
      <c r="B86" s="21" t="s">
        <v>459</v>
      </c>
      <c r="C86" s="11" t="s">
        <v>448</v>
      </c>
      <c r="D86" s="26" t="n">
        <f aca="false">D79/Baseline!$F$29</f>
        <v>-0.00227737035523692</v>
      </c>
      <c r="E86" s="26" t="n">
        <f aca="false">E79/Baseline!$F$29</f>
        <v>-0.00588486608066503</v>
      </c>
      <c r="F86" s="26" t="n">
        <f aca="false">F79/Baseline!$F$29</f>
        <v>-0.0107858403615412</v>
      </c>
      <c r="G86" s="26" t="n">
        <f aca="false">G79/Baseline!$F$29</f>
        <v>-0.0159061240983462</v>
      </c>
      <c r="H86" s="26" t="n">
        <f aca="false">H79/Baseline!$F$29</f>
        <v>-0.021245907211031</v>
      </c>
      <c r="I86" s="26" t="n">
        <f aca="false">I79/Baseline!$F$29</f>
        <v>-0.024104569343772</v>
      </c>
      <c r="J86" s="26" t="n">
        <f aca="false">J79/Baseline!$F$29</f>
        <v>-0.0267753259551665</v>
      </c>
      <c r="K86" s="26" t="n">
        <f aca="false">K79/Baseline!$F$29</f>
        <v>-0.0280783277606732</v>
      </c>
      <c r="L86" s="51" t="n">
        <f aca="false">K86</f>
        <v>-0.0280783277606732</v>
      </c>
    </row>
    <row r="87" customFormat="false" ht="15" hidden="false" customHeight="false" outlineLevel="0" collapsed="false">
      <c r="A87" s="47" t="n">
        <v>73</v>
      </c>
      <c r="B87" s="21" t="s">
        <v>460</v>
      </c>
      <c r="C87" s="11" t="s">
        <v>448</v>
      </c>
      <c r="D87" s="58" t="n">
        <f aca="false">D79/Baseline!$F$27</f>
        <v>-0.000342449023787478</v>
      </c>
      <c r="E87" s="58" t="n">
        <f aca="false">E79/Baseline!$F$27</f>
        <v>-0.00088490949212963</v>
      </c>
      <c r="F87" s="58" t="n">
        <f aca="false">F79/Baseline!$F$27</f>
        <v>-0.00162187080992064</v>
      </c>
      <c r="G87" s="58" t="n">
        <f aca="false">G79/Baseline!$F$27</f>
        <v>-0.0023918097718254</v>
      </c>
      <c r="H87" s="58" t="n">
        <f aca="false">H79/Baseline!$F$27</f>
        <v>-0.00319475493617725</v>
      </c>
      <c r="I87" s="58" t="n">
        <f aca="false">I79/Baseline!$F$27</f>
        <v>-0.00362461301984127</v>
      </c>
      <c r="J87" s="58" t="n">
        <f aca="false">J79/Baseline!$F$27</f>
        <v>-0.00402621568066579</v>
      </c>
      <c r="K87" s="58" t="n">
        <f aca="false">K79/Baseline!$F$27</f>
        <v>-0.00422214854475309</v>
      </c>
      <c r="L87" s="61" t="n">
        <f aca="false">K87</f>
        <v>-0.00422214854475309</v>
      </c>
    </row>
    <row r="88" customFormat="false" ht="15" hidden="false" customHeight="false" outlineLevel="0" collapsed="false">
      <c r="A88" s="47" t="n">
        <v>74</v>
      </c>
      <c r="B88" s="21" t="s">
        <v>461</v>
      </c>
      <c r="C88" s="11" t="s">
        <v>448</v>
      </c>
      <c r="D88" s="58" t="n">
        <f aca="false">(D30+D31)/Baseline!$F$31</f>
        <v>2.22827704896455E-005</v>
      </c>
      <c r="E88" s="58" t="n">
        <f aca="false">(E30+E31)/Baseline!$F$31</f>
        <v>6.93341823885574E-005</v>
      </c>
      <c r="F88" s="58" t="n">
        <f aca="false">(F30+F31)/Baseline!$F$31</f>
        <v>0.000143640106616357</v>
      </c>
      <c r="G88" s="58" t="n">
        <f aca="false">(G30+G31)/Baseline!$F$31</f>
        <v>0.000247686414092664</v>
      </c>
      <c r="H88" s="58" t="n">
        <f aca="false">(H30+H31)/Baseline!$F$31</f>
        <v>0.000383958975737101</v>
      </c>
      <c r="I88" s="58" t="n">
        <f aca="false">(I30+I31)/Baseline!$F$31</f>
        <v>0.000528517773780274</v>
      </c>
      <c r="J88" s="58" t="n">
        <f aca="false">(J30+J31)/Baseline!$F$31</f>
        <v>0.000681362808222183</v>
      </c>
      <c r="K88" s="58" t="n">
        <f aca="false">(K30+K31)/Baseline!$F$31</f>
        <v>0.000842494079062829</v>
      </c>
      <c r="L88" s="61" t="n">
        <f aca="false">K88</f>
        <v>0.000842494079062829</v>
      </c>
    </row>
    <row r="89" customFormat="false" ht="15" hidden="false" customHeight="false" outlineLevel="0" collapsed="false">
      <c r="A89" s="45"/>
      <c r="B89" s="46" t="s">
        <v>462</v>
      </c>
      <c r="C89" s="45"/>
      <c r="D89" s="45"/>
      <c r="E89" s="45"/>
      <c r="F89" s="45"/>
      <c r="G89" s="45"/>
      <c r="H89" s="45"/>
      <c r="I89" s="45"/>
      <c r="J89" s="45"/>
      <c r="K89" s="45"/>
      <c r="L89" s="45"/>
    </row>
    <row r="90" customFormat="false" ht="15" hidden="false" customHeight="false" outlineLevel="0" collapsed="false">
      <c r="A90" s="47" t="n">
        <v>75</v>
      </c>
      <c r="B90" s="21" t="s">
        <v>463</v>
      </c>
      <c r="C90" s="11" t="s">
        <v>39</v>
      </c>
      <c r="D90" s="40" t="n">
        <f aca="false">Assumptions!$D$38</f>
        <v>50000</v>
      </c>
      <c r="E90" s="40" t="n">
        <f aca="false">Assumptions!$D$38</f>
        <v>50000</v>
      </c>
      <c r="F90" s="40" t="n">
        <f aca="false">Assumptions!$D$38</f>
        <v>50000</v>
      </c>
      <c r="G90" s="40" t="n">
        <f aca="false">Assumptions!$D$38</f>
        <v>50000</v>
      </c>
      <c r="H90" s="40" t="n">
        <f aca="false">Assumptions!$D$38</f>
        <v>50000</v>
      </c>
      <c r="I90" s="40" t="n">
        <f aca="false">Assumptions!$D$38</f>
        <v>50000</v>
      </c>
      <c r="J90" s="40" t="n">
        <f aca="false">Assumptions!$D$38</f>
        <v>50000</v>
      </c>
      <c r="K90" s="40" t="n">
        <f aca="false">Assumptions!$D$38</f>
        <v>50000</v>
      </c>
      <c r="L90" s="62" t="n">
        <f aca="false">K90</f>
        <v>50000</v>
      </c>
    </row>
    <row r="91" customFormat="false" ht="15" hidden="false" customHeight="false" outlineLevel="0" collapsed="false">
      <c r="A91" s="47" t="n">
        <v>76</v>
      </c>
      <c r="B91" s="21" t="s">
        <v>464</v>
      </c>
      <c r="C91" s="11" t="s">
        <v>39</v>
      </c>
      <c r="D91" s="40" t="n">
        <f aca="false">IF(D13&gt;0,(D18+D19)*100/D13/3,0)</f>
        <v>6500</v>
      </c>
      <c r="E91" s="40" t="n">
        <f aca="false">IF(E13&gt;0,(E18+E19)*100/E13/3,0)</f>
        <v>6500</v>
      </c>
      <c r="F91" s="40" t="n">
        <f aca="false">IF(F13&gt;0,(F18+F19)*100/F13/3,0)</f>
        <v>6500</v>
      </c>
      <c r="G91" s="40" t="n">
        <f aca="false">IF(G13&gt;0,(G18+G19)*100/G13/3,0)</f>
        <v>6500</v>
      </c>
      <c r="H91" s="40" t="n">
        <f aca="false">IF(H13&gt;0,(H18+H19)*100/H13/3,0)</f>
        <v>6500</v>
      </c>
      <c r="I91" s="40" t="n">
        <f aca="false">IF(I13&gt;0,(I18+I19)*100/I13/3,0)</f>
        <v>6500</v>
      </c>
      <c r="J91" s="40" t="n">
        <f aca="false">IF(J13&gt;0,(J18+J19)*100/J13/3,0)</f>
        <v>6500</v>
      </c>
      <c r="K91" s="40" t="n">
        <f aca="false">IF(K13&gt;0,(K18+K19)*100/K13/3,0)</f>
        <v>6500</v>
      </c>
      <c r="L91" s="62" t="n">
        <f aca="false">K91</f>
        <v>6500</v>
      </c>
    </row>
    <row r="92" customFormat="false" ht="15" hidden="false" customHeight="false" outlineLevel="0" collapsed="false">
      <c r="A92" s="47" t="n">
        <v>77</v>
      </c>
      <c r="B92" s="19" t="s">
        <v>465</v>
      </c>
      <c r="C92" s="11" t="s">
        <v>448</v>
      </c>
      <c r="D92" s="60" t="n">
        <f aca="false">IF(D90&gt;0,D91/D90,0)</f>
        <v>0.13</v>
      </c>
      <c r="E92" s="60" t="n">
        <f aca="false">IF(E90&gt;0,E91/E90,0)</f>
        <v>0.13</v>
      </c>
      <c r="F92" s="60" t="n">
        <f aca="false">IF(F90&gt;0,F91/F90,0)</f>
        <v>0.13</v>
      </c>
      <c r="G92" s="60" t="n">
        <f aca="false">IF(G90&gt;0,G91/G90,0)</f>
        <v>0.13</v>
      </c>
      <c r="H92" s="60" t="n">
        <f aca="false">IF(H90&gt;0,H91/H90,0)</f>
        <v>0.13</v>
      </c>
      <c r="I92" s="60" t="n">
        <f aca="false">IF(I90&gt;0,I91/I90,0)</f>
        <v>0.13</v>
      </c>
      <c r="J92" s="60" t="n">
        <f aca="false">IF(J90&gt;0,J91/J90,0)</f>
        <v>0.13</v>
      </c>
      <c r="K92" s="60" t="n">
        <f aca="false">IF(K90&gt;0,K91/K90,0)</f>
        <v>0.13</v>
      </c>
      <c r="L92" s="63" t="n">
        <f aca="false">K92</f>
        <v>0.13</v>
      </c>
    </row>
    <row r="93" customFormat="false" ht="15" hidden="false" customHeight="false" outlineLevel="0" collapsed="false">
      <c r="A93" s="47" t="n">
        <v>78</v>
      </c>
      <c r="B93" s="21" t="s">
        <v>466</v>
      </c>
      <c r="C93" s="11" t="s">
        <v>39</v>
      </c>
      <c r="D93" s="38" t="n">
        <f aca="false">IF(D13&gt;0,(D35-(D41-D37))*100/D13/3,0)</f>
        <v>-40.2172916666667</v>
      </c>
      <c r="E93" s="38" t="n">
        <f aca="false">IF(E13&gt;0,(E35-(E41-E37))*100/E13/3,0)</f>
        <v>-40.2172916666667</v>
      </c>
      <c r="F93" s="38" t="n">
        <f aca="false">IF(F13&gt;0,(F35-(F41-F37))*100/F13/3,0)</f>
        <v>-40.2172916666667</v>
      </c>
      <c r="G93" s="38" t="n">
        <f aca="false">IF(G13&gt;0,(G35-(G41-G37))*100/G13/3,0)</f>
        <v>-40.2172916666667</v>
      </c>
      <c r="H93" s="38" t="n">
        <f aca="false">IF(H13&gt;0,(H35-(H41-H37))*100/H13/3,0)</f>
        <v>-40.2172916666667</v>
      </c>
      <c r="I93" s="38" t="n">
        <f aca="false">IF(I13&gt;0,(I35-(I41-I37))*100/I13/3,0)</f>
        <v>-40.2172916666667</v>
      </c>
      <c r="J93" s="38" t="n">
        <f aca="false">IF(J13&gt;0,(J35-(J41-J37))*100/J13/3,0)</f>
        <v>-40.2172916666667</v>
      </c>
      <c r="K93" s="38" t="n">
        <f aca="false">IF(K13&gt;0,(K35-(K41-K37))*100/K13/3,0)</f>
        <v>-40.2172916666667</v>
      </c>
      <c r="L93" s="64" t="n">
        <f aca="false">K93</f>
        <v>-40.2172916666667</v>
      </c>
    </row>
    <row r="94" customFormat="false" ht="15" hidden="false" customHeight="false" outlineLevel="0" collapsed="false">
      <c r="A94" s="47" t="n">
        <v>79</v>
      </c>
      <c r="B94" s="21" t="s">
        <v>467</v>
      </c>
      <c r="C94" s="11" t="s">
        <v>468</v>
      </c>
      <c r="D94" s="38" t="str">
        <f aca="false">IF(D93&gt;0,Assumptions!$D$43/D93,"never")</f>
        <v>never</v>
      </c>
      <c r="E94" s="38" t="str">
        <f aca="false">IF(E93&gt;0,Assumptions!$D$43/E93,"never")</f>
        <v>never</v>
      </c>
      <c r="F94" s="38" t="str">
        <f aca="false">IF(F93&gt;0,Assumptions!$D$43/F93,"never")</f>
        <v>never</v>
      </c>
      <c r="G94" s="38" t="str">
        <f aca="false">IF(G93&gt;0,Assumptions!$D$43/G93,"never")</f>
        <v>never</v>
      </c>
      <c r="H94" s="38" t="str">
        <f aca="false">IF(H93&gt;0,Assumptions!$D$43/H93,"never")</f>
        <v>never</v>
      </c>
      <c r="I94" s="38" t="str">
        <f aca="false">IF(I93&gt;0,Assumptions!$D$43/I93,"never")</f>
        <v>never</v>
      </c>
      <c r="J94" s="38" t="str">
        <f aca="false">IF(J93&gt;0,Assumptions!$D$43/J93,"never")</f>
        <v>never</v>
      </c>
      <c r="K94" s="38" t="str">
        <f aca="false">IF(K93&gt;0,Assumptions!$D$43/K93,"never")</f>
        <v>never</v>
      </c>
      <c r="L94" s="64" t="str">
        <f aca="false">K94</f>
        <v>never</v>
      </c>
    </row>
    <row r="95" customFormat="false" ht="15" hidden="false" customHeight="false" outlineLevel="0" collapsed="false">
      <c r="A95" s="47" t="n">
        <v>80</v>
      </c>
      <c r="B95" s="21" t="s">
        <v>469</v>
      </c>
      <c r="C95" s="11" t="s">
        <v>470</v>
      </c>
      <c r="D95" s="38" t="n">
        <f aca="false">IF(D46&gt;0,D61*100/D46*4,0)</f>
        <v>-8.43333333333333</v>
      </c>
      <c r="E95" s="38" t="n">
        <f aca="false">IF(E46&gt;0,E61*100/E46*4,0)</f>
        <v>-7.97054299818135</v>
      </c>
      <c r="F95" s="38" t="n">
        <f aca="false">IF(F46&gt;0,F61*100/F46*4,0)</f>
        <v>-7.51486832204666</v>
      </c>
      <c r="G95" s="38" t="n">
        <f aca="false">IF(G46&gt;0,G61*100/G46*4,0)</f>
        <v>-6.91362424242425</v>
      </c>
      <c r="H95" s="38" t="n">
        <f aca="false">IF(H46&gt;0,H61*100/H46*4,0)</f>
        <v>-6.28540933614826</v>
      </c>
      <c r="I95" s="38" t="n">
        <f aca="false">IF(I46&gt;0,I61*100/I46*4,0)</f>
        <v>-5.45440257084429</v>
      </c>
      <c r="J95" s="38" t="n">
        <f aca="false">IF(J46&gt;0,J61*100/J46*4,0)</f>
        <v>-4.68432474113241</v>
      </c>
      <c r="K95" s="38" t="n">
        <f aca="false">IF(K46&gt;0,K61*100/K46*4,0)</f>
        <v>-3.69366159805809</v>
      </c>
      <c r="L95" s="64" t="n">
        <f aca="false">K95</f>
        <v>-3.69366159805809</v>
      </c>
    </row>
    <row r="96" customFormat="false" ht="15" hidden="false" customHeight="false" outlineLevel="0" collapsed="false">
      <c r="A96" s="45"/>
      <c r="B96" s="46" t="s">
        <v>471</v>
      </c>
      <c r="C96" s="45"/>
      <c r="D96" s="45"/>
      <c r="E96" s="45"/>
      <c r="F96" s="45"/>
      <c r="G96" s="45"/>
      <c r="H96" s="45"/>
      <c r="I96" s="45"/>
      <c r="J96" s="45"/>
      <c r="K96" s="45"/>
      <c r="L96" s="45"/>
    </row>
    <row r="97" customFormat="false" ht="15" hidden="false" customHeight="false" outlineLevel="0" collapsed="false">
      <c r="A97" s="47" t="n">
        <v>81</v>
      </c>
      <c r="B97" s="21" t="s">
        <v>472</v>
      </c>
      <c r="C97" s="11" t="s">
        <v>39</v>
      </c>
      <c r="D97" s="40" t="n">
        <f aca="false">Assumptions!$D$12/(1-Assumptions!$D$47)</f>
        <v>161290.322580645</v>
      </c>
      <c r="E97" s="40" t="n">
        <f aca="false">Assumptions!$D$12/(1-Assumptions!$D$47)</f>
        <v>161290.322580645</v>
      </c>
      <c r="F97" s="40" t="n">
        <f aca="false">Assumptions!$D$12/(1-Assumptions!$D$47)</f>
        <v>161290.322580645</v>
      </c>
      <c r="G97" s="40" t="n">
        <f aca="false">Assumptions!$D$12/(1-Assumptions!$D$47)</f>
        <v>161290.322580645</v>
      </c>
      <c r="H97" s="40" t="n">
        <f aca="false">Assumptions!$D$12/(1-Assumptions!$D$47)</f>
        <v>161290.322580645</v>
      </c>
      <c r="I97" s="40" t="n">
        <f aca="false">Assumptions!$D$12/(1-Assumptions!$D$47)</f>
        <v>161290.322580645</v>
      </c>
      <c r="J97" s="40" t="n">
        <f aca="false">Assumptions!$D$12/(1-Assumptions!$D$47)</f>
        <v>161290.322580645</v>
      </c>
      <c r="K97" s="40" t="n">
        <f aca="false">Assumptions!$D$12/(1-Assumptions!$D$47)</f>
        <v>161290.322580645</v>
      </c>
      <c r="L97" s="62" t="n">
        <f aca="false">K97</f>
        <v>161290.322580645</v>
      </c>
    </row>
    <row r="98" customFormat="false" ht="15" hidden="false" customHeight="false" outlineLevel="0" collapsed="false">
      <c r="A98" s="47" t="n">
        <v>82</v>
      </c>
      <c r="B98" s="21" t="s">
        <v>473</v>
      </c>
      <c r="C98" s="11" t="s">
        <v>39</v>
      </c>
      <c r="D98" s="40" t="n">
        <f aca="false">D97*Assumptions!$D$39*Assumptions!$D$47</f>
        <v>112.903225806452</v>
      </c>
      <c r="E98" s="40" t="n">
        <f aca="false">E97*Assumptions!$D$39*Assumptions!$D$47</f>
        <v>112.903225806452</v>
      </c>
      <c r="F98" s="40" t="n">
        <f aca="false">F97*Assumptions!$D$39*Assumptions!$D$47</f>
        <v>112.903225806452</v>
      </c>
      <c r="G98" s="40" t="n">
        <f aca="false">G97*Assumptions!$D$39*Assumptions!$D$47</f>
        <v>112.903225806452</v>
      </c>
      <c r="H98" s="40" t="n">
        <f aca="false">H97*Assumptions!$D$39*Assumptions!$D$47</f>
        <v>112.903225806452</v>
      </c>
      <c r="I98" s="40" t="n">
        <f aca="false">I97*Assumptions!$D$39*Assumptions!$D$47</f>
        <v>112.903225806452</v>
      </c>
      <c r="J98" s="40" t="n">
        <f aca="false">J97*Assumptions!$D$39*Assumptions!$D$47</f>
        <v>112.903225806452</v>
      </c>
      <c r="K98" s="40" t="n">
        <f aca="false">K97*Assumptions!$D$39*Assumptions!$D$47</f>
        <v>112.903225806452</v>
      </c>
      <c r="L98" s="62" t="n">
        <f aca="false">K98</f>
        <v>112.903225806452</v>
      </c>
    </row>
    <row r="99" customFormat="false" ht="15" hidden="false" customHeight="false" outlineLevel="0" collapsed="false">
      <c r="A99" s="47" t="n">
        <v>83</v>
      </c>
      <c r="B99" s="21" t="s">
        <v>474</v>
      </c>
      <c r="C99" s="11" t="s">
        <v>39</v>
      </c>
      <c r="D99" s="40" t="n">
        <f aca="false">Assumptions!$D$12*Assumptions!$D$13*Assumptions!$D$17*Assumptions!$D$18*Assumptions!$D$48</f>
        <v>31.5</v>
      </c>
      <c r="E99" s="40" t="n">
        <f aca="false">Assumptions!$D$12*Assumptions!$D$13*Assumptions!$D$17*Assumptions!$D$18*Assumptions!$D$48</f>
        <v>31.5</v>
      </c>
      <c r="F99" s="40" t="n">
        <f aca="false">Assumptions!$D$12*Assumptions!$D$13*Assumptions!$D$17*Assumptions!$D$18*Assumptions!$D$48</f>
        <v>31.5</v>
      </c>
      <c r="G99" s="40" t="n">
        <f aca="false">Assumptions!$D$12*Assumptions!$D$13*Assumptions!$D$17*Assumptions!$D$18*Assumptions!$D$48</f>
        <v>31.5</v>
      </c>
      <c r="H99" s="40" t="n">
        <f aca="false">Assumptions!$D$12*Assumptions!$D$13*Assumptions!$D$17*Assumptions!$D$18*Assumptions!$D$48</f>
        <v>31.5</v>
      </c>
      <c r="I99" s="40" t="n">
        <f aca="false">Assumptions!$D$12*Assumptions!$D$13*Assumptions!$D$17*Assumptions!$D$18*Assumptions!$D$48</f>
        <v>31.5</v>
      </c>
      <c r="J99" s="40" t="n">
        <f aca="false">Assumptions!$D$12*Assumptions!$D$13*Assumptions!$D$17*Assumptions!$D$18*Assumptions!$D$48</f>
        <v>31.5</v>
      </c>
      <c r="K99" s="40" t="n">
        <f aca="false">Assumptions!$D$12*Assumptions!$D$13*Assumptions!$D$17*Assumptions!$D$18*Assumptions!$D$48</f>
        <v>31.5</v>
      </c>
      <c r="L99" s="62" t="n">
        <f aca="false">K99</f>
        <v>31.5</v>
      </c>
    </row>
    <row r="100" customFormat="false" ht="15" hidden="false" customHeight="false" outlineLevel="0" collapsed="false">
      <c r="A100" s="47" t="n">
        <v>84</v>
      </c>
      <c r="B100" s="21" t="s">
        <v>475</v>
      </c>
      <c r="C100" s="11" t="s">
        <v>39</v>
      </c>
      <c r="D100" s="40" t="n">
        <f aca="false">Assumptions!$D$37</f>
        <v>49</v>
      </c>
      <c r="E100" s="40" t="n">
        <f aca="false">Assumptions!$D$37</f>
        <v>49</v>
      </c>
      <c r="F100" s="40" t="n">
        <f aca="false">Assumptions!$D$37</f>
        <v>49</v>
      </c>
      <c r="G100" s="40" t="n">
        <f aca="false">Assumptions!$D$37</f>
        <v>49</v>
      </c>
      <c r="H100" s="40" t="n">
        <f aca="false">Assumptions!$D$37</f>
        <v>49</v>
      </c>
      <c r="I100" s="40" t="n">
        <f aca="false">Assumptions!$D$37</f>
        <v>49</v>
      </c>
      <c r="J100" s="40" t="n">
        <f aca="false">Assumptions!$D$37</f>
        <v>49</v>
      </c>
      <c r="K100" s="40" t="n">
        <f aca="false">Assumptions!$D$37</f>
        <v>49</v>
      </c>
      <c r="L100" s="62" t="n">
        <f aca="false">K100</f>
        <v>49</v>
      </c>
    </row>
    <row r="101" customFormat="false" ht="15" hidden="false" customHeight="false" outlineLevel="0" collapsed="false">
      <c r="A101" s="47" t="n">
        <v>85</v>
      </c>
      <c r="B101" s="21" t="s">
        <v>476</v>
      </c>
      <c r="C101" s="11" t="s">
        <v>39</v>
      </c>
      <c r="D101" s="40" t="n">
        <f aca="false">D98-D99-D100</f>
        <v>32.4032258064516</v>
      </c>
      <c r="E101" s="40" t="n">
        <f aca="false">E98-E99-E100</f>
        <v>32.4032258064516</v>
      </c>
      <c r="F101" s="40" t="n">
        <f aca="false">F98-F99-F100</f>
        <v>32.4032258064516</v>
      </c>
      <c r="G101" s="40" t="n">
        <f aca="false">G98-G99-G100</f>
        <v>32.4032258064516</v>
      </c>
      <c r="H101" s="40" t="n">
        <f aca="false">H98-H99-H100</f>
        <v>32.4032258064516</v>
      </c>
      <c r="I101" s="40" t="n">
        <f aca="false">I98-I99-I100</f>
        <v>32.4032258064516</v>
      </c>
      <c r="J101" s="40" t="n">
        <f aca="false">J98-J99-J100</f>
        <v>32.4032258064516</v>
      </c>
      <c r="K101" s="40" t="n">
        <f aca="false">K98-K99-K100</f>
        <v>32.4032258064516</v>
      </c>
      <c r="L101" s="62" t="n">
        <f aca="false">K101</f>
        <v>32.4032258064516</v>
      </c>
    </row>
    <row r="102" customFormat="false" ht="15" hidden="false" customHeight="false" outlineLevel="0" collapsed="false">
      <c r="A102" s="47" t="n">
        <v>86</v>
      </c>
      <c r="B102" s="21" t="s">
        <v>477</v>
      </c>
      <c r="C102" s="11" t="s">
        <v>39</v>
      </c>
      <c r="D102" s="40" t="n">
        <f aca="false">Assumptions!$D$12*Assumptions!$D$13*Assumptions!$D$49</f>
        <v>30</v>
      </c>
      <c r="E102" s="40" t="n">
        <f aca="false">Assumptions!$D$12*Assumptions!$D$13*Assumptions!$D$49</f>
        <v>30</v>
      </c>
      <c r="F102" s="40" t="n">
        <f aca="false">Assumptions!$D$12*Assumptions!$D$13*Assumptions!$D$49</f>
        <v>30</v>
      </c>
      <c r="G102" s="40" t="n">
        <f aca="false">Assumptions!$D$12*Assumptions!$D$13*Assumptions!$D$49</f>
        <v>30</v>
      </c>
      <c r="H102" s="40" t="n">
        <f aca="false">Assumptions!$D$12*Assumptions!$D$13*Assumptions!$D$49</f>
        <v>30</v>
      </c>
      <c r="I102" s="40" t="n">
        <f aca="false">Assumptions!$D$12*Assumptions!$D$13*Assumptions!$D$49</f>
        <v>30</v>
      </c>
      <c r="J102" s="40" t="n">
        <f aca="false">Assumptions!$D$12*Assumptions!$D$13*Assumptions!$D$49</f>
        <v>30</v>
      </c>
      <c r="K102" s="40" t="n">
        <f aca="false">Assumptions!$D$12*Assumptions!$D$13*Assumptions!$D$49</f>
        <v>30</v>
      </c>
      <c r="L102" s="62" t="n">
        <f aca="false">K102</f>
        <v>30</v>
      </c>
    </row>
    <row r="106" customFormat="false" ht="15" hidden="false" customHeight="false" outlineLevel="0" collapsed="false">
      <c r="A106" s="43" t="s">
        <v>478</v>
      </c>
      <c r="B106" s="44"/>
      <c r="C106" s="44"/>
      <c r="D106" s="44"/>
      <c r="E106" s="44"/>
      <c r="F106" s="44"/>
      <c r="G106" s="44"/>
      <c r="H106" s="44"/>
      <c r="I106" s="44"/>
      <c r="J106" s="44"/>
      <c r="K106" s="44"/>
      <c r="L106" s="44"/>
    </row>
    <row r="107" customFormat="false" ht="15" hidden="false" customHeight="false" outlineLevel="0" collapsed="false">
      <c r="A107" s="45"/>
      <c r="B107" s="46" t="s">
        <v>379</v>
      </c>
      <c r="C107" s="45"/>
      <c r="D107" s="45"/>
      <c r="E107" s="45"/>
      <c r="F107" s="45"/>
      <c r="G107" s="45"/>
      <c r="H107" s="45"/>
      <c r="I107" s="45"/>
      <c r="J107" s="45"/>
      <c r="K107" s="45"/>
      <c r="L107" s="45"/>
    </row>
    <row r="108" customFormat="false" ht="15" hidden="false" customHeight="false" outlineLevel="0" collapsed="false">
      <c r="A108" s="47" t="n">
        <v>1</v>
      </c>
      <c r="B108" s="21" t="s">
        <v>380</v>
      </c>
      <c r="C108" s="11" t="s">
        <v>381</v>
      </c>
      <c r="D108" s="48" t="n">
        <f aca="false">Baseline!H15*100</f>
        <v>176.714285714286</v>
      </c>
      <c r="E108" s="48" t="n">
        <f aca="false">Baseline!H16*100</f>
        <v>183.285714285714</v>
      </c>
      <c r="F108" s="48" t="n">
        <f aca="false">Baseline!H17*100</f>
        <v>189.857142857143</v>
      </c>
      <c r="G108" s="48" t="n">
        <f aca="false">Baseline!H18*100</f>
        <v>196.428571428571</v>
      </c>
      <c r="H108" s="48" t="n">
        <f aca="false">Baseline!H19*100</f>
        <v>203</v>
      </c>
      <c r="I108" s="48" t="n">
        <f aca="false">Baseline!H20*100</f>
        <v>209.571428571429</v>
      </c>
      <c r="J108" s="48" t="n">
        <f aca="false">Baseline!H21*100</f>
        <v>216.142857142857</v>
      </c>
      <c r="K108" s="48" t="n">
        <f aca="false">Baseline!H22*100</f>
        <v>222.714285714286</v>
      </c>
      <c r="L108" s="49" t="n">
        <f aca="false">K108</f>
        <v>222.714285714286</v>
      </c>
    </row>
    <row r="109" customFormat="false" ht="15" hidden="false" customHeight="false" outlineLevel="0" collapsed="false">
      <c r="A109" s="47" t="n">
        <v>2</v>
      </c>
      <c r="B109" s="21" t="s">
        <v>382</v>
      </c>
      <c r="C109" s="11" t="s">
        <v>381</v>
      </c>
      <c r="D109" s="27" t="n">
        <f aca="false">D108*Assumptions!$E$10</f>
        <v>70.6857142857143</v>
      </c>
      <c r="E109" s="27" t="n">
        <f aca="false">E108*Assumptions!$E$10</f>
        <v>73.3142857142857</v>
      </c>
      <c r="F109" s="27" t="n">
        <f aca="false">F108*Assumptions!$E$10</f>
        <v>75.9428571428572</v>
      </c>
      <c r="G109" s="27" t="n">
        <f aca="false">G108*Assumptions!$E$10</f>
        <v>78.5714285714286</v>
      </c>
      <c r="H109" s="27" t="n">
        <f aca="false">H108*Assumptions!$E$10</f>
        <v>81.2</v>
      </c>
      <c r="I109" s="27" t="n">
        <f aca="false">I108*Assumptions!$E$10</f>
        <v>83.8285714285714</v>
      </c>
      <c r="J109" s="27" t="n">
        <f aca="false">J108*Assumptions!$E$10</f>
        <v>86.4571428571429</v>
      </c>
      <c r="K109" s="27" t="n">
        <f aca="false">K108*Assumptions!$E$10</f>
        <v>89.0857142857143</v>
      </c>
      <c r="L109" s="49" t="n">
        <f aca="false">K109</f>
        <v>89.0857142857143</v>
      </c>
    </row>
    <row r="110" customFormat="false" ht="15" hidden="false" customHeight="false" outlineLevel="0" collapsed="false">
      <c r="A110" s="47" t="n">
        <v>3</v>
      </c>
      <c r="B110" s="21" t="s">
        <v>383</v>
      </c>
      <c r="C110" s="11" t="s">
        <v>256</v>
      </c>
      <c r="D110" s="50" t="n">
        <f aca="false">Assumptions!D$79</f>
        <v>0.02</v>
      </c>
      <c r="E110" s="50" t="n">
        <f aca="false">Assumptions!E$79</f>
        <v>0.06</v>
      </c>
      <c r="F110" s="50" t="n">
        <f aca="false">Assumptions!F$79</f>
        <v>0.12</v>
      </c>
      <c r="G110" s="50" t="n">
        <f aca="false">Assumptions!G$79</f>
        <v>0.2</v>
      </c>
      <c r="H110" s="50" t="n">
        <f aca="false">Assumptions!H$79</f>
        <v>0.3</v>
      </c>
      <c r="I110" s="50" t="n">
        <f aca="false">Assumptions!I$79</f>
        <v>0.4</v>
      </c>
      <c r="J110" s="50" t="n">
        <f aca="false">Assumptions!J$79</f>
        <v>0.5</v>
      </c>
      <c r="K110" s="50" t="n">
        <f aca="false">Assumptions!K$79</f>
        <v>0.6</v>
      </c>
      <c r="L110" s="51" t="n">
        <f aca="false">K110</f>
        <v>0.6</v>
      </c>
    </row>
    <row r="111" customFormat="false" ht="15" hidden="false" customHeight="false" outlineLevel="0" collapsed="false">
      <c r="A111" s="47" t="n">
        <v>4</v>
      </c>
      <c r="B111" s="19" t="s">
        <v>384</v>
      </c>
      <c r="C111" s="11" t="s">
        <v>381</v>
      </c>
      <c r="D111" s="52" t="n">
        <f aca="false">D109*D110*Assumptions!$E$11</f>
        <v>0.141371428571429</v>
      </c>
      <c r="E111" s="52" t="n">
        <f aca="false">E109*E110*Assumptions!$E$11</f>
        <v>0.439885714285714</v>
      </c>
      <c r="F111" s="52" t="n">
        <f aca="false">F109*F110*Assumptions!$E$11</f>
        <v>0.911314285714286</v>
      </c>
      <c r="G111" s="52" t="n">
        <f aca="false">G109*G110*Assumptions!$E$11</f>
        <v>1.57142857142857</v>
      </c>
      <c r="H111" s="52" t="n">
        <f aca="false">H109*H110*Assumptions!$E$11</f>
        <v>2.436</v>
      </c>
      <c r="I111" s="52" t="n">
        <f aca="false">I109*I110*Assumptions!$E$11</f>
        <v>3.35314285714286</v>
      </c>
      <c r="J111" s="52" t="n">
        <f aca="false">J109*J110*Assumptions!$E$11</f>
        <v>4.32285714285714</v>
      </c>
      <c r="K111" s="52" t="n">
        <f aca="false">K109*K110*Assumptions!$E$11</f>
        <v>5.34514285714286</v>
      </c>
      <c r="L111" s="53" t="n">
        <f aca="false">K111</f>
        <v>5.34514285714286</v>
      </c>
    </row>
    <row r="112" customFormat="false" ht="15" hidden="false" customHeight="false" outlineLevel="0" collapsed="false">
      <c r="A112" s="47" t="n">
        <v>5</v>
      </c>
      <c r="B112" s="21" t="s">
        <v>385</v>
      </c>
      <c r="C112" s="11" t="s">
        <v>381</v>
      </c>
      <c r="D112" s="27" t="n">
        <f aca="false">MAX(0,D111-N(C111))</f>
        <v>0.141371428571429</v>
      </c>
      <c r="E112" s="27" t="n">
        <f aca="false">MAX(0,E111-N(D111))</f>
        <v>0.298514285714286</v>
      </c>
      <c r="F112" s="27" t="n">
        <f aca="false">MAX(0,F111-N(E111))</f>
        <v>0.471428571428572</v>
      </c>
      <c r="G112" s="27" t="n">
        <f aca="false">MAX(0,G111-N(F111))</f>
        <v>0.660114285714286</v>
      </c>
      <c r="H112" s="27" t="n">
        <f aca="false">MAX(0,H111-N(G111))</f>
        <v>0.864571428571429</v>
      </c>
      <c r="I112" s="27" t="n">
        <f aca="false">MAX(0,I111-N(H111))</f>
        <v>0.917142857142857</v>
      </c>
      <c r="J112" s="27" t="n">
        <f aca="false">MAX(0,J111-N(I111))</f>
        <v>0.969714285714286</v>
      </c>
      <c r="K112" s="27" t="n">
        <f aca="false">MAX(0,K111-N(J111))</f>
        <v>1.02228571428571</v>
      </c>
      <c r="L112" s="52" t="n">
        <f aca="false">SUM(D112:K112)</f>
        <v>5.34514285714286</v>
      </c>
    </row>
    <row r="113" customFormat="false" ht="15" hidden="false" customHeight="false" outlineLevel="0" collapsed="false">
      <c r="A113" s="47" t="n">
        <v>6</v>
      </c>
      <c r="B113" s="21" t="s">
        <v>386</v>
      </c>
      <c r="C113" s="11" t="s">
        <v>338</v>
      </c>
      <c r="D113" s="40" t="n">
        <f aca="false">D111*Assumptions!$E$12*3/100</f>
        <v>1060.28571428571</v>
      </c>
      <c r="E113" s="40" t="n">
        <f aca="false">E111*Assumptions!$E$12*3/100</f>
        <v>3299.14285714286</v>
      </c>
      <c r="F113" s="40" t="n">
        <f aca="false">F111*Assumptions!$E$12*3/100</f>
        <v>6834.85714285714</v>
      </c>
      <c r="G113" s="40" t="n">
        <f aca="false">G111*Assumptions!$E$12*3/100</f>
        <v>11785.7142857143</v>
      </c>
      <c r="H113" s="40" t="n">
        <f aca="false">H111*Assumptions!$E$12*3/100</f>
        <v>18270</v>
      </c>
      <c r="I113" s="40" t="n">
        <f aca="false">I111*Assumptions!$E$12*3/100</f>
        <v>25148.5714285714</v>
      </c>
      <c r="J113" s="40" t="n">
        <f aca="false">J111*Assumptions!$E$12*3/100</f>
        <v>32421.4285714286</v>
      </c>
      <c r="K113" s="40" t="n">
        <f aca="false">K111*Assumptions!$E$12*3/100</f>
        <v>40088.5714285714</v>
      </c>
      <c r="L113" s="54" t="n">
        <f aca="false">SUM(D113:K113)</f>
        <v>138908.571428571</v>
      </c>
    </row>
    <row r="114" customFormat="false" ht="15" hidden="false" customHeight="false" outlineLevel="0" collapsed="false">
      <c r="A114" s="47" t="n">
        <v>7</v>
      </c>
      <c r="B114" s="21" t="s">
        <v>387</v>
      </c>
      <c r="C114" s="11" t="s">
        <v>338</v>
      </c>
      <c r="D114" s="40" t="n">
        <f aca="false">D113*Assumptions!$E$13</f>
        <v>371.1</v>
      </c>
      <c r="E114" s="40" t="n">
        <f aca="false">E113*Assumptions!$E$13</f>
        <v>1154.7</v>
      </c>
      <c r="F114" s="40" t="n">
        <f aca="false">F113*Assumptions!$E$13</f>
        <v>2392.2</v>
      </c>
      <c r="G114" s="40" t="n">
        <f aca="false">G113*Assumptions!$E$13</f>
        <v>4125</v>
      </c>
      <c r="H114" s="40" t="n">
        <f aca="false">H113*Assumptions!$E$13</f>
        <v>6394.5</v>
      </c>
      <c r="I114" s="40" t="n">
        <f aca="false">I113*Assumptions!$E$13</f>
        <v>8802</v>
      </c>
      <c r="J114" s="40" t="n">
        <f aca="false">J113*Assumptions!$E$13</f>
        <v>11347.5</v>
      </c>
      <c r="K114" s="40" t="n">
        <f aca="false">K113*Assumptions!$E$13</f>
        <v>14031</v>
      </c>
      <c r="L114" s="54" t="n">
        <f aca="false">SUM(D114:K114)</f>
        <v>48618</v>
      </c>
    </row>
    <row r="115" customFormat="false" ht="15" hidden="false" customHeight="false" outlineLevel="0" collapsed="false">
      <c r="A115" s="47" t="n">
        <v>8</v>
      </c>
      <c r="B115" s="21" t="s">
        <v>388</v>
      </c>
      <c r="C115" s="11" t="s">
        <v>338</v>
      </c>
      <c r="D115" s="40" t="n">
        <f aca="false">D114*Assumptions!$E$14</f>
        <v>259.77</v>
      </c>
      <c r="E115" s="40" t="n">
        <f aca="false">E114*Assumptions!$E$14</f>
        <v>808.29</v>
      </c>
      <c r="F115" s="40" t="n">
        <f aca="false">F114*Assumptions!$E$14</f>
        <v>1674.54</v>
      </c>
      <c r="G115" s="40" t="n">
        <f aca="false">G114*Assumptions!$E$14</f>
        <v>2887.5</v>
      </c>
      <c r="H115" s="40" t="n">
        <f aca="false">H114*Assumptions!$E$14</f>
        <v>4476.15</v>
      </c>
      <c r="I115" s="40" t="n">
        <f aca="false">I114*Assumptions!$E$14</f>
        <v>6161.4</v>
      </c>
      <c r="J115" s="40" t="n">
        <f aca="false">J114*Assumptions!$E$14</f>
        <v>7943.25</v>
      </c>
      <c r="K115" s="40" t="n">
        <f aca="false">K114*Assumptions!$E$14</f>
        <v>9821.7</v>
      </c>
      <c r="L115" s="54" t="n">
        <f aca="false">SUM(D115:K115)</f>
        <v>34032.6</v>
      </c>
    </row>
    <row r="116" customFormat="false" ht="15" hidden="false" customHeight="false" outlineLevel="0" collapsed="false">
      <c r="A116" s="47" t="n">
        <v>9</v>
      </c>
      <c r="B116" s="19" t="s">
        <v>389</v>
      </c>
      <c r="C116" s="11" t="s">
        <v>338</v>
      </c>
      <c r="D116" s="54" t="n">
        <f aca="false">D115*Assumptions!$E$15</f>
        <v>155.862</v>
      </c>
      <c r="E116" s="54" t="n">
        <f aca="false">E115*Assumptions!$E$15</f>
        <v>484.974</v>
      </c>
      <c r="F116" s="54" t="n">
        <f aca="false">F115*Assumptions!$E$15</f>
        <v>1004.724</v>
      </c>
      <c r="G116" s="54" t="n">
        <f aca="false">G115*Assumptions!$E$15</f>
        <v>1732.5</v>
      </c>
      <c r="H116" s="54" t="n">
        <f aca="false">H115*Assumptions!$E$15</f>
        <v>2685.69</v>
      </c>
      <c r="I116" s="54" t="n">
        <f aca="false">I115*Assumptions!$E$15</f>
        <v>3696.84</v>
      </c>
      <c r="J116" s="54" t="n">
        <f aca="false">J115*Assumptions!$E$15</f>
        <v>4765.95</v>
      </c>
      <c r="K116" s="54" t="n">
        <f aca="false">K115*Assumptions!$E$15</f>
        <v>5893.02</v>
      </c>
      <c r="L116" s="54" t="n">
        <f aca="false">SUM(D116:K116)</f>
        <v>20419.56</v>
      </c>
    </row>
    <row r="117" customFormat="false" ht="15" hidden="false" customHeight="false" outlineLevel="0" collapsed="false">
      <c r="A117" s="47" t="n">
        <v>10</v>
      </c>
      <c r="B117" s="21" t="s">
        <v>390</v>
      </c>
      <c r="C117" s="11" t="s">
        <v>338</v>
      </c>
      <c r="D117" s="38" t="n">
        <f aca="false">D111*Assumptions!$E$38*Assumptions!$E$39*3/100</f>
        <v>6.78582857142857</v>
      </c>
      <c r="E117" s="38" t="n">
        <f aca="false">E111*Assumptions!$E$38*Assumptions!$E$39*3/100</f>
        <v>21.1145142857143</v>
      </c>
      <c r="F117" s="38" t="n">
        <f aca="false">F111*Assumptions!$E$38*Assumptions!$E$39*3/100</f>
        <v>43.7430857142857</v>
      </c>
      <c r="G117" s="38" t="n">
        <f aca="false">G111*Assumptions!$E$38*Assumptions!$E$39*3/100</f>
        <v>75.4285714285714</v>
      </c>
      <c r="H117" s="38" t="n">
        <f aca="false">H111*Assumptions!$E$38*Assumptions!$E$39*3/100</f>
        <v>116.928</v>
      </c>
      <c r="I117" s="38" t="n">
        <f aca="false">I111*Assumptions!$E$38*Assumptions!$E$39*3/100</f>
        <v>160.950857142857</v>
      </c>
      <c r="J117" s="38" t="n">
        <f aca="false">J111*Assumptions!$E$38*Assumptions!$E$39*3/100</f>
        <v>207.497142857143</v>
      </c>
      <c r="K117" s="38" t="n">
        <f aca="false">K111*Assumptions!$E$38*Assumptions!$E$39*3/100</f>
        <v>256.566857142857</v>
      </c>
      <c r="L117" s="55" t="n">
        <f aca="false">SUM(D117:K117)</f>
        <v>889.014857142857</v>
      </c>
    </row>
    <row r="118" customFormat="false" ht="15" hidden="false" customHeight="false" outlineLevel="0" collapsed="false">
      <c r="A118" s="45"/>
      <c r="B118" s="46" t="s">
        <v>391</v>
      </c>
      <c r="C118" s="45"/>
      <c r="D118" s="45"/>
      <c r="E118" s="45"/>
      <c r="F118" s="45"/>
      <c r="G118" s="45"/>
      <c r="H118" s="45"/>
      <c r="I118" s="45"/>
      <c r="J118" s="45"/>
      <c r="K118" s="45"/>
      <c r="L118" s="45"/>
    </row>
    <row r="119" customFormat="false" ht="15" hidden="false" customHeight="false" outlineLevel="0" collapsed="false">
      <c r="A119" s="47" t="n">
        <v>11</v>
      </c>
      <c r="B119" s="21" t="s">
        <v>392</v>
      </c>
      <c r="C119" s="11" t="s">
        <v>338</v>
      </c>
      <c r="D119" s="38" t="n">
        <f aca="false">D114*Assumptions!$E$17*Assumptions!$E$18</f>
        <v>46.3875</v>
      </c>
      <c r="E119" s="38" t="n">
        <f aca="false">E114*Assumptions!$E$17*Assumptions!$E$18</f>
        <v>144.3375</v>
      </c>
      <c r="F119" s="38" t="n">
        <f aca="false">F114*Assumptions!$E$17*Assumptions!$E$18</f>
        <v>299.025</v>
      </c>
      <c r="G119" s="38" t="n">
        <f aca="false">G114*Assumptions!$E$17*Assumptions!$E$18</f>
        <v>515.625</v>
      </c>
      <c r="H119" s="38" t="n">
        <f aca="false">H114*Assumptions!$E$17*Assumptions!$E$18</f>
        <v>799.3125</v>
      </c>
      <c r="I119" s="38" t="n">
        <f aca="false">I114*Assumptions!$E$17*Assumptions!$E$18</f>
        <v>1100.25</v>
      </c>
      <c r="J119" s="38" t="n">
        <f aca="false">J114*Assumptions!$E$17*Assumptions!$E$18</f>
        <v>1418.4375</v>
      </c>
      <c r="K119" s="38" t="n">
        <f aca="false">K114*Assumptions!$E$17*Assumptions!$E$18</f>
        <v>1753.875</v>
      </c>
      <c r="L119" s="55" t="n">
        <f aca="false">SUM(D119:K119)</f>
        <v>6077.25</v>
      </c>
    </row>
    <row r="120" customFormat="false" ht="15" hidden="false" customHeight="false" outlineLevel="0" collapsed="false">
      <c r="A120" s="47" t="n">
        <v>12</v>
      </c>
      <c r="B120" s="21" t="s">
        <v>393</v>
      </c>
      <c r="C120" s="11" t="s">
        <v>338</v>
      </c>
      <c r="D120" s="38" t="n">
        <f aca="false">D119*Assumptions!$E$19</f>
        <v>20.874375</v>
      </c>
      <c r="E120" s="38" t="n">
        <f aca="false">E119*Assumptions!$E$19</f>
        <v>64.951875</v>
      </c>
      <c r="F120" s="38" t="n">
        <f aca="false">F119*Assumptions!$E$19</f>
        <v>134.56125</v>
      </c>
      <c r="G120" s="38" t="n">
        <f aca="false">G119*Assumptions!$E$19</f>
        <v>232.03125</v>
      </c>
      <c r="H120" s="38" t="n">
        <f aca="false">H119*Assumptions!$E$19</f>
        <v>359.690625</v>
      </c>
      <c r="I120" s="38" t="n">
        <f aca="false">I119*Assumptions!$E$19</f>
        <v>495.1125</v>
      </c>
      <c r="J120" s="38" t="n">
        <f aca="false">J119*Assumptions!$E$19</f>
        <v>638.296875</v>
      </c>
      <c r="K120" s="38" t="n">
        <f aca="false">K119*Assumptions!$E$19</f>
        <v>789.24375</v>
      </c>
      <c r="L120" s="55" t="n">
        <f aca="false">SUM(D120:K120)</f>
        <v>2734.7625</v>
      </c>
    </row>
    <row r="121" customFormat="false" ht="15" hidden="false" customHeight="false" outlineLevel="0" collapsed="false">
      <c r="A121" s="47" t="n">
        <v>13</v>
      </c>
      <c r="B121" s="21" t="s">
        <v>394</v>
      </c>
      <c r="C121" s="11" t="s">
        <v>338</v>
      </c>
      <c r="D121" s="38" t="n">
        <f aca="false">D119*Assumptions!$E$20</f>
        <v>11.596875</v>
      </c>
      <c r="E121" s="38" t="n">
        <f aca="false">E119*Assumptions!$E$20</f>
        <v>36.084375</v>
      </c>
      <c r="F121" s="38" t="n">
        <f aca="false">F119*Assumptions!$E$20</f>
        <v>74.75625</v>
      </c>
      <c r="G121" s="38" t="n">
        <f aca="false">G119*Assumptions!$E$20</f>
        <v>128.90625</v>
      </c>
      <c r="H121" s="38" t="n">
        <f aca="false">H119*Assumptions!$E$20</f>
        <v>199.828125</v>
      </c>
      <c r="I121" s="38" t="n">
        <f aca="false">I119*Assumptions!$E$20</f>
        <v>275.0625</v>
      </c>
      <c r="J121" s="38" t="n">
        <f aca="false">J119*Assumptions!$E$20</f>
        <v>354.609375</v>
      </c>
      <c r="K121" s="38" t="n">
        <f aca="false">K119*Assumptions!$E$20</f>
        <v>438.46875</v>
      </c>
      <c r="L121" s="55" t="n">
        <f aca="false">SUM(D121:K121)</f>
        <v>1519.3125</v>
      </c>
    </row>
    <row r="122" customFormat="false" ht="15" hidden="false" customHeight="false" outlineLevel="0" collapsed="false">
      <c r="A122" s="47" t="n">
        <v>14</v>
      </c>
      <c r="B122" s="21" t="s">
        <v>395</v>
      </c>
      <c r="C122" s="11" t="s">
        <v>338</v>
      </c>
      <c r="D122" s="38" t="n">
        <f aca="false">D119*Assumptions!$E$21</f>
        <v>6.958125</v>
      </c>
      <c r="E122" s="38" t="n">
        <f aca="false">E119*Assumptions!$E$21</f>
        <v>21.650625</v>
      </c>
      <c r="F122" s="38" t="n">
        <f aca="false">F119*Assumptions!$E$21</f>
        <v>44.85375</v>
      </c>
      <c r="G122" s="38" t="n">
        <f aca="false">G119*Assumptions!$E$21</f>
        <v>77.34375</v>
      </c>
      <c r="H122" s="38" t="n">
        <f aca="false">H119*Assumptions!$E$21</f>
        <v>119.896875</v>
      </c>
      <c r="I122" s="38" t="n">
        <f aca="false">I119*Assumptions!$E$21</f>
        <v>165.0375</v>
      </c>
      <c r="J122" s="38" t="n">
        <f aca="false">J119*Assumptions!$E$21</f>
        <v>212.765625</v>
      </c>
      <c r="K122" s="38" t="n">
        <f aca="false">K119*Assumptions!$E$21</f>
        <v>263.08125</v>
      </c>
      <c r="L122" s="55" t="n">
        <f aca="false">SUM(D122:K122)</f>
        <v>911.5875</v>
      </c>
    </row>
    <row r="123" customFormat="false" ht="15" hidden="false" customHeight="false" outlineLevel="0" collapsed="false">
      <c r="A123" s="47" t="n">
        <v>15</v>
      </c>
      <c r="B123" s="21" t="s">
        <v>396</v>
      </c>
      <c r="C123" s="11" t="s">
        <v>338</v>
      </c>
      <c r="D123" s="38" t="n">
        <f aca="false">D119*Assumptions!$E$22</f>
        <v>6.958125</v>
      </c>
      <c r="E123" s="38" t="n">
        <f aca="false">E119*Assumptions!$E$22</f>
        <v>21.650625</v>
      </c>
      <c r="F123" s="38" t="n">
        <f aca="false">F119*Assumptions!$E$22</f>
        <v>44.85375</v>
      </c>
      <c r="G123" s="38" t="n">
        <f aca="false">G119*Assumptions!$E$22</f>
        <v>77.34375</v>
      </c>
      <c r="H123" s="38" t="n">
        <f aca="false">H119*Assumptions!$E$22</f>
        <v>119.896875</v>
      </c>
      <c r="I123" s="38" t="n">
        <f aca="false">I119*Assumptions!$E$22</f>
        <v>165.0375</v>
      </c>
      <c r="J123" s="38" t="n">
        <f aca="false">J119*Assumptions!$E$22</f>
        <v>212.765625</v>
      </c>
      <c r="K123" s="38" t="n">
        <f aca="false">K119*Assumptions!$E$22</f>
        <v>263.08125</v>
      </c>
      <c r="L123" s="55" t="n">
        <f aca="false">SUM(D123:K123)</f>
        <v>911.5875</v>
      </c>
    </row>
    <row r="124" customFormat="false" ht="15" hidden="false" customHeight="false" outlineLevel="0" collapsed="false">
      <c r="A124" s="47" t="n">
        <v>16</v>
      </c>
      <c r="B124" s="21" t="s">
        <v>397</v>
      </c>
      <c r="C124" s="11" t="s">
        <v>398</v>
      </c>
      <c r="D124" s="27" t="n">
        <f aca="false">D111*Assumptions!$E$27/4</f>
        <v>0.00353428571428572</v>
      </c>
      <c r="E124" s="27" t="n">
        <f aca="false">E111*Assumptions!$E$27/4</f>
        <v>0.0109971428571429</v>
      </c>
      <c r="F124" s="27" t="n">
        <f aca="false">F111*Assumptions!$E$27/4</f>
        <v>0.0227828571428571</v>
      </c>
      <c r="G124" s="27" t="n">
        <f aca="false">G111*Assumptions!$E$27/4</f>
        <v>0.0392857142857143</v>
      </c>
      <c r="H124" s="27" t="n">
        <f aca="false">H111*Assumptions!$E$27/4</f>
        <v>0.0609</v>
      </c>
      <c r="I124" s="27" t="n">
        <f aca="false">I111*Assumptions!$E$27/4</f>
        <v>0.0838285714285714</v>
      </c>
      <c r="J124" s="27" t="n">
        <f aca="false">J111*Assumptions!$E$27/4</f>
        <v>0.108071428571429</v>
      </c>
      <c r="K124" s="27" t="n">
        <f aca="false">K111*Assumptions!$E$27/4</f>
        <v>0.133628571428571</v>
      </c>
      <c r="L124" s="52" t="n">
        <f aca="false">SUM(D124:K124)</f>
        <v>0.463028571428571</v>
      </c>
    </row>
    <row r="125" customFormat="false" ht="15" hidden="false" customHeight="false" outlineLevel="0" collapsed="false">
      <c r="A125" s="47" t="n">
        <v>17</v>
      </c>
      <c r="B125" s="21" t="s">
        <v>399</v>
      </c>
      <c r="C125" s="11" t="s">
        <v>338</v>
      </c>
      <c r="D125" s="38" t="n">
        <f aca="false">D124*Assumptions!$E$28/100</f>
        <v>5.30142857142857</v>
      </c>
      <c r="E125" s="38" t="n">
        <f aca="false">E124*Assumptions!$E$28/100</f>
        <v>16.4957142857143</v>
      </c>
      <c r="F125" s="38" t="n">
        <f aca="false">F124*Assumptions!$E$28/100</f>
        <v>34.1742857142857</v>
      </c>
      <c r="G125" s="38" t="n">
        <f aca="false">G124*Assumptions!$E$28/100</f>
        <v>58.9285714285715</v>
      </c>
      <c r="H125" s="38" t="n">
        <f aca="false">H124*Assumptions!$E$28/100</f>
        <v>91.35</v>
      </c>
      <c r="I125" s="38" t="n">
        <f aca="false">I124*Assumptions!$E$28/100</f>
        <v>125.742857142857</v>
      </c>
      <c r="J125" s="38" t="n">
        <f aca="false">J124*Assumptions!$E$28/100</f>
        <v>162.107142857143</v>
      </c>
      <c r="K125" s="38" t="n">
        <f aca="false">K124*Assumptions!$E$28/100</f>
        <v>200.442857142857</v>
      </c>
      <c r="L125" s="55" t="n">
        <f aca="false">SUM(D125:K125)</f>
        <v>694.542857142857</v>
      </c>
    </row>
    <row r="126" customFormat="false" ht="15" hidden="false" customHeight="false" outlineLevel="0" collapsed="false">
      <c r="A126" s="47" t="n">
        <v>18</v>
      </c>
      <c r="B126" s="19" t="s">
        <v>400</v>
      </c>
      <c r="C126" s="11" t="s">
        <v>338</v>
      </c>
      <c r="D126" s="55" t="n">
        <f aca="false">D119+D125</f>
        <v>51.6889285714286</v>
      </c>
      <c r="E126" s="55" t="n">
        <f aca="false">E119+E125</f>
        <v>160.833214285714</v>
      </c>
      <c r="F126" s="55" t="n">
        <f aca="false">F119+F125</f>
        <v>333.199285714286</v>
      </c>
      <c r="G126" s="55" t="n">
        <f aca="false">G119+G125</f>
        <v>574.553571428572</v>
      </c>
      <c r="H126" s="55" t="n">
        <f aca="false">H119+H125</f>
        <v>890.6625</v>
      </c>
      <c r="I126" s="55" t="n">
        <f aca="false">I119+I125</f>
        <v>1225.99285714286</v>
      </c>
      <c r="J126" s="55" t="n">
        <f aca="false">J119+J125</f>
        <v>1580.54464285714</v>
      </c>
      <c r="K126" s="55" t="n">
        <f aca="false">K119+K125</f>
        <v>1954.31785714286</v>
      </c>
      <c r="L126" s="55" t="n">
        <f aca="false">SUM(D126:K126)</f>
        <v>6771.79285714286</v>
      </c>
    </row>
    <row r="127" customFormat="false" ht="15" hidden="false" customHeight="false" outlineLevel="0" collapsed="false">
      <c r="A127" s="45"/>
      <c r="B127" s="46" t="s">
        <v>401</v>
      </c>
      <c r="C127" s="45"/>
      <c r="D127" s="45"/>
      <c r="E127" s="45"/>
      <c r="F127" s="45"/>
      <c r="G127" s="45"/>
      <c r="H127" s="45"/>
      <c r="I127" s="45"/>
      <c r="J127" s="45"/>
      <c r="K127" s="45"/>
      <c r="L127" s="45"/>
    </row>
    <row r="128" customFormat="false" ht="15" hidden="false" customHeight="false" outlineLevel="0" collapsed="false">
      <c r="A128" s="47" t="n">
        <v>19</v>
      </c>
      <c r="B128" s="21" t="s">
        <v>402</v>
      </c>
      <c r="C128" s="11" t="s">
        <v>338</v>
      </c>
      <c r="D128" s="27" t="n">
        <f aca="false">D120*Assumptions!$E$23+D121*Assumptions!$E$24+D122*Assumptions!$E$25+D123*Assumptions!$E$26</f>
        <v>0.15307875</v>
      </c>
      <c r="E128" s="27" t="n">
        <f aca="false">E120*Assumptions!$E$23+E121*Assumptions!$E$24+E122*Assumptions!$E$25+E123*Assumptions!$E$26</f>
        <v>0.47631375</v>
      </c>
      <c r="F128" s="27" t="n">
        <f aca="false">F120*Assumptions!$E$23+F121*Assumptions!$E$24+F122*Assumptions!$E$25+F123*Assumptions!$E$26</f>
        <v>0.9867825</v>
      </c>
      <c r="G128" s="27" t="n">
        <f aca="false">G120*Assumptions!$E$23+G121*Assumptions!$E$24+G122*Assumptions!$E$25+G123*Assumptions!$E$26</f>
        <v>1.7015625</v>
      </c>
      <c r="H128" s="27" t="n">
        <f aca="false">H120*Assumptions!$E$23+H121*Assumptions!$E$24+H122*Assumptions!$E$25+H123*Assumptions!$E$26</f>
        <v>2.63773125</v>
      </c>
      <c r="I128" s="27" t="n">
        <f aca="false">I120*Assumptions!$E$23+I121*Assumptions!$E$24+I122*Assumptions!$E$25+I123*Assumptions!$E$26</f>
        <v>3.630825</v>
      </c>
      <c r="J128" s="27" t="n">
        <f aca="false">J120*Assumptions!$E$23+J121*Assumptions!$E$24+J122*Assumptions!$E$25+J123*Assumptions!$E$26</f>
        <v>4.68084375</v>
      </c>
      <c r="K128" s="27" t="n">
        <f aca="false">K120*Assumptions!$E$23+K121*Assumptions!$E$24+K122*Assumptions!$E$25+K123*Assumptions!$E$26</f>
        <v>5.7877875</v>
      </c>
      <c r="L128" s="52" t="n">
        <f aca="false">SUM(D128:K128)</f>
        <v>20.054925</v>
      </c>
    </row>
    <row r="129" customFormat="false" ht="15" hidden="false" customHeight="false" outlineLevel="0" collapsed="false">
      <c r="A129" s="47" t="n">
        <v>20</v>
      </c>
      <c r="B129" s="21" t="s">
        <v>403</v>
      </c>
      <c r="C129" s="11" t="s">
        <v>338</v>
      </c>
      <c r="D129" s="27" t="n">
        <f aca="false">D125*Assumptions!$E$29</f>
        <v>0.159042857142857</v>
      </c>
      <c r="E129" s="27" t="n">
        <f aca="false">E125*Assumptions!$E$29</f>
        <v>0.494871428571429</v>
      </c>
      <c r="F129" s="27" t="n">
        <f aca="false">F125*Assumptions!$E$29</f>
        <v>1.02522857142857</v>
      </c>
      <c r="G129" s="27" t="n">
        <f aca="false">G125*Assumptions!$E$29</f>
        <v>1.76785714285714</v>
      </c>
      <c r="H129" s="27" t="n">
        <f aca="false">H125*Assumptions!$E$29</f>
        <v>2.7405</v>
      </c>
      <c r="I129" s="27" t="n">
        <f aca="false">I125*Assumptions!$E$29</f>
        <v>3.77228571428571</v>
      </c>
      <c r="J129" s="27" t="n">
        <f aca="false">J125*Assumptions!$E$29</f>
        <v>4.86321428571429</v>
      </c>
      <c r="K129" s="27" t="n">
        <f aca="false">K125*Assumptions!$E$29</f>
        <v>6.01328571428571</v>
      </c>
      <c r="L129" s="52" t="n">
        <f aca="false">SUM(D129:K129)</f>
        <v>20.8362857142857</v>
      </c>
    </row>
    <row r="130" customFormat="false" ht="15" hidden="false" customHeight="false" outlineLevel="0" collapsed="false">
      <c r="A130" s="47" t="n">
        <v>21</v>
      </c>
      <c r="B130" s="21" t="s">
        <v>404</v>
      </c>
      <c r="C130" s="11" t="s">
        <v>338</v>
      </c>
      <c r="D130" s="27" t="n">
        <f aca="false">D116*Assumptions!$E$34*Assumptions!$E$35*Assumptions!$E$33</f>
        <v>0.0935172</v>
      </c>
      <c r="E130" s="27" t="n">
        <f aca="false">E116*Assumptions!$E$34*Assumptions!$E$35*Assumptions!$E$33</f>
        <v>0.2909844</v>
      </c>
      <c r="F130" s="27" t="n">
        <f aca="false">F116*Assumptions!$E$34*Assumptions!$E$35*Assumptions!$E$33</f>
        <v>0.6028344</v>
      </c>
      <c r="G130" s="27" t="n">
        <f aca="false">G116*Assumptions!$E$34*Assumptions!$E$35*Assumptions!$E$33</f>
        <v>1.0395</v>
      </c>
      <c r="H130" s="27" t="n">
        <f aca="false">H116*Assumptions!$E$34*Assumptions!$E$35*Assumptions!$E$33</f>
        <v>1.611414</v>
      </c>
      <c r="I130" s="27" t="n">
        <f aca="false">I116*Assumptions!$E$34*Assumptions!$E$35*Assumptions!$E$33</f>
        <v>2.218104</v>
      </c>
      <c r="J130" s="27" t="n">
        <f aca="false">J116*Assumptions!$E$34*Assumptions!$E$35*Assumptions!$E$33</f>
        <v>2.85957</v>
      </c>
      <c r="K130" s="27" t="n">
        <f aca="false">K116*Assumptions!$E$34*Assumptions!$E$35*Assumptions!$E$33</f>
        <v>3.535812</v>
      </c>
      <c r="L130" s="52" t="n">
        <f aca="false">SUM(D130:K130)</f>
        <v>12.251736</v>
      </c>
    </row>
    <row r="131" customFormat="false" ht="15" hidden="false" customHeight="false" outlineLevel="0" collapsed="false">
      <c r="A131" s="47" t="n">
        <v>22</v>
      </c>
      <c r="B131" s="21" t="s">
        <v>405</v>
      </c>
      <c r="C131" s="11" t="s">
        <v>338</v>
      </c>
      <c r="D131" s="27" t="n">
        <f aca="false">D111*Assumptions!$E$36*Assumptions!$E$37*3/100</f>
        <v>0.0839746285714286</v>
      </c>
      <c r="E131" s="27" t="n">
        <f aca="false">E111*Assumptions!$E$36*Assumptions!$E$37*3/100</f>
        <v>0.261292114285714</v>
      </c>
      <c r="F131" s="27" t="n">
        <f aca="false">F111*Assumptions!$E$36*Assumptions!$E$37*3/100</f>
        <v>0.541320685714286</v>
      </c>
      <c r="G131" s="27" t="n">
        <f aca="false">G111*Assumptions!$E$36*Assumptions!$E$37*3/100</f>
        <v>0.933428571428572</v>
      </c>
      <c r="H131" s="27" t="n">
        <f aca="false">H111*Assumptions!$E$36*Assumptions!$E$37*3/100</f>
        <v>1.446984</v>
      </c>
      <c r="I131" s="27" t="n">
        <f aca="false">I111*Assumptions!$E$36*Assumptions!$E$37*3/100</f>
        <v>1.99176685714286</v>
      </c>
      <c r="J131" s="27" t="n">
        <f aca="false">J111*Assumptions!$E$36*Assumptions!$E$37*3/100</f>
        <v>2.56777714285714</v>
      </c>
      <c r="K131" s="27" t="n">
        <f aca="false">K111*Assumptions!$E$36*Assumptions!$E$37*3/100</f>
        <v>3.17501485714286</v>
      </c>
      <c r="L131" s="52" t="n">
        <f aca="false">SUM(D131:K131)</f>
        <v>11.0015588571429</v>
      </c>
    </row>
    <row r="132" customFormat="false" ht="15" hidden="false" customHeight="false" outlineLevel="0" collapsed="false">
      <c r="A132" s="47" t="n">
        <v>23</v>
      </c>
      <c r="B132" s="21" t="s">
        <v>406</v>
      </c>
      <c r="C132" s="11" t="s">
        <v>338</v>
      </c>
      <c r="D132" s="27" t="n">
        <f aca="false">D117*Assumptions!$E$6</f>
        <v>0.00271433142857143</v>
      </c>
      <c r="E132" s="27" t="n">
        <f aca="false">E117*Assumptions!$E$6</f>
        <v>0.00844580571428572</v>
      </c>
      <c r="F132" s="27" t="n">
        <f aca="false">F117*Assumptions!$E$6</f>
        <v>0.0174972342857143</v>
      </c>
      <c r="G132" s="27" t="n">
        <f aca="false">G117*Assumptions!$E$6</f>
        <v>0.0301714285714286</v>
      </c>
      <c r="H132" s="27" t="n">
        <f aca="false">H117*Assumptions!$E$6</f>
        <v>0.0467712</v>
      </c>
      <c r="I132" s="27" t="n">
        <f aca="false">I117*Assumptions!$E$6</f>
        <v>0.0643803428571429</v>
      </c>
      <c r="J132" s="27" t="n">
        <f aca="false">J117*Assumptions!$E$6</f>
        <v>0.0829988571428572</v>
      </c>
      <c r="K132" s="27" t="n">
        <f aca="false">K117*Assumptions!$E$6</f>
        <v>0.102626742857143</v>
      </c>
      <c r="L132" s="52" t="n">
        <f aca="false">SUM(D132:K132)</f>
        <v>0.355605942857143</v>
      </c>
    </row>
    <row r="133" customFormat="false" ht="15" hidden="false" customHeight="false" outlineLevel="0" collapsed="false">
      <c r="A133" s="47" t="n">
        <v>24</v>
      </c>
      <c r="B133" s="21" t="s">
        <v>407</v>
      </c>
      <c r="C133" s="11" t="s">
        <v>338</v>
      </c>
      <c r="D133" s="27" t="n">
        <f aca="false">SUM(D128:D132)</f>
        <v>0.492327767142857</v>
      </c>
      <c r="E133" s="27" t="n">
        <f aca="false">SUM(E128:E132)</f>
        <v>1.53190749857143</v>
      </c>
      <c r="F133" s="27" t="n">
        <f aca="false">SUM(F128:F132)</f>
        <v>3.17366339142857</v>
      </c>
      <c r="G133" s="27" t="n">
        <f aca="false">SUM(G128:G132)</f>
        <v>5.47251964285714</v>
      </c>
      <c r="H133" s="27" t="n">
        <f aca="false">SUM(H128:H132)</f>
        <v>8.48340045</v>
      </c>
      <c r="I133" s="27" t="n">
        <f aca="false">SUM(I128:I132)</f>
        <v>11.6773619142857</v>
      </c>
      <c r="J133" s="27" t="n">
        <f aca="false">SUM(J128:J132)</f>
        <v>15.0544040357143</v>
      </c>
      <c r="K133" s="27" t="n">
        <f aca="false">SUM(K128:K132)</f>
        <v>18.6145268142857</v>
      </c>
      <c r="L133" s="52" t="n">
        <f aca="false">SUM(D133:K133)</f>
        <v>64.5001115142857</v>
      </c>
    </row>
    <row r="134" customFormat="false" ht="15" hidden="false" customHeight="false" outlineLevel="0" collapsed="false">
      <c r="A134" s="47" t="n">
        <v>25</v>
      </c>
      <c r="B134" s="21" t="s">
        <v>408</v>
      </c>
      <c r="C134" s="11" t="s">
        <v>338</v>
      </c>
      <c r="D134" s="27" t="n">
        <f aca="false">D111*Assumptions!$E$41*3/100+D111*Assumptions!$E$36*Assumptions!$E$42*3/100</f>
        <v>0.0763405714285715</v>
      </c>
      <c r="E134" s="27" t="n">
        <f aca="false">E111*Assumptions!$E$41*3/100+E111*Assumptions!$E$36*Assumptions!$E$42*3/100</f>
        <v>0.237538285714286</v>
      </c>
      <c r="F134" s="27" t="n">
        <f aca="false">F111*Assumptions!$E$41*3/100+F111*Assumptions!$E$36*Assumptions!$E$42*3/100</f>
        <v>0.492109714285714</v>
      </c>
      <c r="G134" s="27" t="n">
        <f aca="false">G111*Assumptions!$E$41*3/100+G111*Assumptions!$E$36*Assumptions!$E$42*3/100</f>
        <v>0.848571428571429</v>
      </c>
      <c r="H134" s="27" t="n">
        <f aca="false">H111*Assumptions!$E$41*3/100+H111*Assumptions!$E$36*Assumptions!$E$42*3/100</f>
        <v>1.31544</v>
      </c>
      <c r="I134" s="27" t="n">
        <f aca="false">I111*Assumptions!$E$41*3/100+I111*Assumptions!$E$36*Assumptions!$E$42*3/100</f>
        <v>1.81069714285714</v>
      </c>
      <c r="J134" s="27" t="n">
        <f aca="false">J111*Assumptions!$E$41*3/100+J111*Assumptions!$E$36*Assumptions!$E$42*3/100</f>
        <v>2.33434285714286</v>
      </c>
      <c r="K134" s="27" t="n">
        <f aca="false">K111*Assumptions!$E$41*3/100+K111*Assumptions!$E$36*Assumptions!$E$42*3/100</f>
        <v>2.88637714285714</v>
      </c>
      <c r="L134" s="52" t="n">
        <f aca="false">SUM(D134:K134)</f>
        <v>10.0014171428571</v>
      </c>
    </row>
    <row r="135" customFormat="false" ht="15" hidden="false" customHeight="false" outlineLevel="0" collapsed="false">
      <c r="A135" s="47" t="n">
        <v>26</v>
      </c>
      <c r="B135" s="21" t="s">
        <v>409</v>
      </c>
      <c r="C135" s="11" t="s">
        <v>338</v>
      </c>
      <c r="D135" s="27" t="n">
        <f aca="false">D112*Assumptions!$E$43/100</f>
        <v>0.353428571428572</v>
      </c>
      <c r="E135" s="27" t="n">
        <f aca="false">E112*Assumptions!$E$43/100</f>
        <v>0.746285714285714</v>
      </c>
      <c r="F135" s="27" t="n">
        <f aca="false">F112*Assumptions!$E$43/100</f>
        <v>1.17857142857143</v>
      </c>
      <c r="G135" s="27" t="n">
        <f aca="false">G112*Assumptions!$E$43/100</f>
        <v>1.65028571428572</v>
      </c>
      <c r="H135" s="27" t="n">
        <f aca="false">H112*Assumptions!$E$43/100</f>
        <v>2.16142857142857</v>
      </c>
      <c r="I135" s="27" t="n">
        <f aca="false">I112*Assumptions!$E$43/100</f>
        <v>2.29285714285714</v>
      </c>
      <c r="J135" s="27" t="n">
        <f aca="false">J112*Assumptions!$E$43/100</f>
        <v>2.42428571428571</v>
      </c>
      <c r="K135" s="27" t="n">
        <f aca="false">K112*Assumptions!$E$43/100</f>
        <v>2.55571428571429</v>
      </c>
      <c r="L135" s="52" t="n">
        <f aca="false">SUM(D135:K135)</f>
        <v>13.3628571428571</v>
      </c>
    </row>
    <row r="136" customFormat="false" ht="15" hidden="false" customHeight="false" outlineLevel="0" collapsed="false">
      <c r="A136" s="47" t="n">
        <v>27</v>
      </c>
      <c r="B136" s="21" t="s">
        <v>410</v>
      </c>
      <c r="C136" s="11" t="s">
        <v>338</v>
      </c>
      <c r="D136" s="27" t="n">
        <f aca="false">D111*Assumptions!$E$44*3/100</f>
        <v>0.0508937142857143</v>
      </c>
      <c r="E136" s="27" t="n">
        <f aca="false">E111*Assumptions!$E$44*3/100</f>
        <v>0.158358857142857</v>
      </c>
      <c r="F136" s="27" t="n">
        <f aca="false">F111*Assumptions!$E$44*3/100</f>
        <v>0.328073142857143</v>
      </c>
      <c r="G136" s="27" t="n">
        <f aca="false">G111*Assumptions!$E$44*3/100</f>
        <v>0.565714285714286</v>
      </c>
      <c r="H136" s="27" t="n">
        <f aca="false">H111*Assumptions!$E$44*3/100</f>
        <v>0.87696</v>
      </c>
      <c r="I136" s="27" t="n">
        <f aca="false">I111*Assumptions!$E$44*3/100</f>
        <v>1.20713142857143</v>
      </c>
      <c r="J136" s="27" t="n">
        <f aca="false">J111*Assumptions!$E$44*3/100</f>
        <v>1.55622857142857</v>
      </c>
      <c r="K136" s="27" t="n">
        <f aca="false">K111*Assumptions!$E$44*3/100</f>
        <v>1.92425142857143</v>
      </c>
      <c r="L136" s="52" t="n">
        <f aca="false">SUM(D136:K136)</f>
        <v>6.66761142857143</v>
      </c>
    </row>
    <row r="137" customFormat="false" ht="15" hidden="false" customHeight="false" outlineLevel="0" collapsed="false">
      <c r="A137" s="47" t="n">
        <v>28</v>
      </c>
      <c r="B137" s="21" t="s">
        <v>411</v>
      </c>
      <c r="C137" s="11" t="s">
        <v>338</v>
      </c>
      <c r="D137" s="27" t="n">
        <f aca="false">D116*Assumptions!$E$45</f>
        <v>0.0155862</v>
      </c>
      <c r="E137" s="27" t="n">
        <f aca="false">E116*Assumptions!$E$45</f>
        <v>0.0484974</v>
      </c>
      <c r="F137" s="27" t="n">
        <f aca="false">F116*Assumptions!$E$45</f>
        <v>0.1004724</v>
      </c>
      <c r="G137" s="27" t="n">
        <f aca="false">G116*Assumptions!$E$45</f>
        <v>0.17325</v>
      </c>
      <c r="H137" s="27" t="n">
        <f aca="false">H116*Assumptions!$E$45</f>
        <v>0.268569</v>
      </c>
      <c r="I137" s="27" t="n">
        <f aca="false">I116*Assumptions!$E$45</f>
        <v>0.369684</v>
      </c>
      <c r="J137" s="27" t="n">
        <f aca="false">J116*Assumptions!$E$45</f>
        <v>0.476595</v>
      </c>
      <c r="K137" s="27" t="n">
        <f aca="false">K116*Assumptions!$E$45</f>
        <v>0.589302</v>
      </c>
      <c r="L137" s="52" t="n">
        <f aca="false">SUM(D137:K137)</f>
        <v>2.041956</v>
      </c>
    </row>
    <row r="138" customFormat="false" ht="15" hidden="false" customHeight="false" outlineLevel="0" collapsed="false">
      <c r="A138" s="47" t="n">
        <v>29</v>
      </c>
      <c r="B138" s="21" t="s">
        <v>412</v>
      </c>
      <c r="C138" s="11" t="s">
        <v>338</v>
      </c>
      <c r="D138" s="27" t="n">
        <f aca="false">D120*Assumptions!$E$30+D125*Assumptions!$E$31</f>
        <v>0.0473815178571429</v>
      </c>
      <c r="E138" s="27" t="n">
        <f aca="false">E120*Assumptions!$E$30+E125*Assumptions!$E$31</f>
        <v>0.147430446428571</v>
      </c>
      <c r="F138" s="27" t="n">
        <f aca="false">F120*Assumptions!$E$30+F125*Assumptions!$E$31</f>
        <v>0.305432678571429</v>
      </c>
      <c r="G138" s="27" t="n">
        <f aca="false">G120*Assumptions!$E$30+G125*Assumptions!$E$31</f>
        <v>0.526674107142857</v>
      </c>
      <c r="H138" s="27" t="n">
        <f aca="false">H120*Assumptions!$E$30+H125*Assumptions!$E$31</f>
        <v>0.816440625</v>
      </c>
      <c r="I138" s="27" t="n">
        <f aca="false">I120*Assumptions!$E$30+I125*Assumptions!$E$31</f>
        <v>1.12382678571429</v>
      </c>
      <c r="J138" s="27" t="n">
        <f aca="false">J120*Assumptions!$E$30+J125*Assumptions!$E$31</f>
        <v>1.44883258928571</v>
      </c>
      <c r="K138" s="27" t="n">
        <f aca="false">K120*Assumptions!$E$30+K125*Assumptions!$E$31</f>
        <v>1.79145803571429</v>
      </c>
      <c r="L138" s="52" t="n">
        <f aca="false">SUM(D138:K138)</f>
        <v>6.20747678571429</v>
      </c>
    </row>
    <row r="139" customFormat="false" ht="15" hidden="false" customHeight="false" outlineLevel="0" collapsed="false">
      <c r="A139" s="47" t="n">
        <v>30</v>
      </c>
      <c r="B139" s="21" t="s">
        <v>413</v>
      </c>
      <c r="C139" s="11" t="s">
        <v>338</v>
      </c>
      <c r="D139" s="27" t="n">
        <f aca="false">SUM(D134:D138)</f>
        <v>0.543630575</v>
      </c>
      <c r="E139" s="27" t="n">
        <f aca="false">SUM(E134:E138)</f>
        <v>1.33811070357143</v>
      </c>
      <c r="F139" s="27" t="n">
        <f aca="false">SUM(F134:F138)</f>
        <v>2.40465936428571</v>
      </c>
      <c r="G139" s="27" t="n">
        <f aca="false">SUM(G134:G138)</f>
        <v>3.76449553571429</v>
      </c>
      <c r="H139" s="27" t="n">
        <f aca="false">SUM(H134:H138)</f>
        <v>5.43883819642857</v>
      </c>
      <c r="I139" s="27" t="n">
        <f aca="false">SUM(I134:I138)</f>
        <v>6.8041965</v>
      </c>
      <c r="J139" s="27" t="n">
        <f aca="false">SUM(J134:J138)</f>
        <v>8.24028473214286</v>
      </c>
      <c r="K139" s="27" t="n">
        <f aca="false">SUM(K134:K138)</f>
        <v>9.74710289285714</v>
      </c>
      <c r="L139" s="52" t="n">
        <f aca="false">SUM(D139:K139)</f>
        <v>38.2813185</v>
      </c>
    </row>
    <row r="140" customFormat="false" ht="15" hidden="false" customHeight="false" outlineLevel="0" collapsed="false">
      <c r="A140" s="47" t="n">
        <v>31</v>
      </c>
      <c r="B140" s="19" t="s">
        <v>414</v>
      </c>
      <c r="C140" s="11" t="s">
        <v>338</v>
      </c>
      <c r="D140" s="52" t="n">
        <f aca="false">D133-D139</f>
        <v>-0.0513028078571429</v>
      </c>
      <c r="E140" s="52" t="n">
        <f aca="false">E133-E139</f>
        <v>0.193796795</v>
      </c>
      <c r="F140" s="52" t="n">
        <f aca="false">F133-F139</f>
        <v>0.769004027142857</v>
      </c>
      <c r="G140" s="52" t="n">
        <f aca="false">G133-G139</f>
        <v>1.70802410714286</v>
      </c>
      <c r="H140" s="52" t="n">
        <f aca="false">H133-H139</f>
        <v>3.04456225357143</v>
      </c>
      <c r="I140" s="52" t="n">
        <f aca="false">I133-I139</f>
        <v>4.87316541428572</v>
      </c>
      <c r="J140" s="52" t="n">
        <f aca="false">J133-J139</f>
        <v>6.81411930357143</v>
      </c>
      <c r="K140" s="52" t="n">
        <f aca="false">K133-K139</f>
        <v>8.86742392142857</v>
      </c>
      <c r="L140" s="52" t="n">
        <f aca="false">SUM(D140:K140)</f>
        <v>26.2187930142857</v>
      </c>
    </row>
    <row r="141" customFormat="false" ht="15" hidden="false" customHeight="false" outlineLevel="0" collapsed="false">
      <c r="A141" s="47" t="n">
        <v>32</v>
      </c>
      <c r="B141" s="21" t="s">
        <v>415</v>
      </c>
      <c r="C141" s="11" t="s">
        <v>338</v>
      </c>
      <c r="D141" s="27" t="n">
        <f aca="false">D114*Assumptions!$E$49</f>
        <v>0.7422</v>
      </c>
      <c r="E141" s="27" t="n">
        <f aca="false">E114*Assumptions!$E$49</f>
        <v>2.3094</v>
      </c>
      <c r="F141" s="27" t="n">
        <f aca="false">F114*Assumptions!$E$49</f>
        <v>4.7844</v>
      </c>
      <c r="G141" s="27" t="n">
        <f aca="false">G114*Assumptions!$E$49</f>
        <v>8.25</v>
      </c>
      <c r="H141" s="27" t="n">
        <f aca="false">H114*Assumptions!$E$49</f>
        <v>12.789</v>
      </c>
      <c r="I141" s="27" t="n">
        <f aca="false">I114*Assumptions!$E$49</f>
        <v>17.604</v>
      </c>
      <c r="J141" s="27" t="n">
        <f aca="false">J114*Assumptions!$E$49</f>
        <v>22.695</v>
      </c>
      <c r="K141" s="27" t="n">
        <f aca="false">K114*Assumptions!$E$49</f>
        <v>28.062</v>
      </c>
      <c r="L141" s="52" t="n">
        <f aca="false">SUM(D141:K141)</f>
        <v>97.236</v>
      </c>
    </row>
    <row r="142" customFormat="false" ht="15" hidden="false" customHeight="false" outlineLevel="0" collapsed="false">
      <c r="A142" s="45"/>
      <c r="B142" s="46" t="s">
        <v>168</v>
      </c>
      <c r="C142" s="45"/>
      <c r="D142" s="45"/>
      <c r="E142" s="45"/>
      <c r="F142" s="45"/>
      <c r="G142" s="45"/>
      <c r="H142" s="45"/>
      <c r="I142" s="45"/>
      <c r="J142" s="45"/>
      <c r="K142" s="45"/>
      <c r="L142" s="45"/>
    </row>
    <row r="143" customFormat="false" ht="15" hidden="false" customHeight="false" outlineLevel="0" collapsed="false">
      <c r="A143" s="47" t="n">
        <v>33</v>
      </c>
      <c r="B143" s="21" t="s">
        <v>416</v>
      </c>
      <c r="C143" s="11" t="s">
        <v>260</v>
      </c>
      <c r="D143" s="50" t="n">
        <f aca="false">Assumptions!D$80</f>
        <v>0.05</v>
      </c>
      <c r="E143" s="50" t="n">
        <f aca="false">Assumptions!E$80</f>
        <v>0.15</v>
      </c>
      <c r="F143" s="50" t="n">
        <f aca="false">Assumptions!F$80</f>
        <v>0.3</v>
      </c>
      <c r="G143" s="50" t="n">
        <f aca="false">Assumptions!G$80</f>
        <v>0.45</v>
      </c>
      <c r="H143" s="50" t="n">
        <f aca="false">Assumptions!H$80</f>
        <v>0.6</v>
      </c>
      <c r="I143" s="50" t="n">
        <f aca="false">Assumptions!I$80</f>
        <v>0.7</v>
      </c>
      <c r="J143" s="50" t="n">
        <f aca="false">Assumptions!J$80</f>
        <v>0.8</v>
      </c>
      <c r="K143" s="50" t="n">
        <f aca="false">Assumptions!K$80</f>
        <v>0.85</v>
      </c>
      <c r="L143" s="51" t="n">
        <f aca="false">K143</f>
        <v>0.85</v>
      </c>
    </row>
    <row r="144" customFormat="false" ht="15" hidden="false" customHeight="false" outlineLevel="0" collapsed="false">
      <c r="A144" s="47" t="n">
        <v>34</v>
      </c>
      <c r="B144" s="21" t="s">
        <v>417</v>
      </c>
      <c r="C144" s="11" t="s">
        <v>381</v>
      </c>
      <c r="D144" s="27" t="n">
        <f aca="false">D108*D143</f>
        <v>8.83571428571429</v>
      </c>
      <c r="E144" s="27" t="n">
        <f aca="false">E108*E143</f>
        <v>27.4928571428571</v>
      </c>
      <c r="F144" s="27" t="n">
        <f aca="false">F108*F143</f>
        <v>56.9571428571429</v>
      </c>
      <c r="G144" s="27" t="n">
        <f aca="false">G108*G143</f>
        <v>88.3928571428572</v>
      </c>
      <c r="H144" s="27" t="n">
        <f aca="false">H108*H143</f>
        <v>121.8</v>
      </c>
      <c r="I144" s="27" t="n">
        <f aca="false">I108*I143</f>
        <v>146.7</v>
      </c>
      <c r="J144" s="27" t="n">
        <f aca="false">J108*J143</f>
        <v>172.914285714286</v>
      </c>
      <c r="K144" s="27" t="n">
        <f aca="false">K108*K143</f>
        <v>189.307142857143</v>
      </c>
      <c r="L144" s="49" t="n">
        <f aca="false">K144</f>
        <v>189.307142857143</v>
      </c>
    </row>
    <row r="145" customFormat="false" ht="15" hidden="false" customHeight="false" outlineLevel="0" collapsed="false">
      <c r="A145" s="47" t="n">
        <v>35</v>
      </c>
      <c r="B145" s="21" t="s">
        <v>418</v>
      </c>
      <c r="C145" s="11" t="s">
        <v>381</v>
      </c>
      <c r="D145" s="27" t="n">
        <f aca="false">D144*Assumptions!$E$51/100/4</f>
        <v>0.883571428571429</v>
      </c>
      <c r="E145" s="27" t="n">
        <f aca="false">E144*Assumptions!$E$51/100/4</f>
        <v>2.74928571428571</v>
      </c>
      <c r="F145" s="27" t="n">
        <f aca="false">F144*Assumptions!$E$51/100/4</f>
        <v>5.69571428571429</v>
      </c>
      <c r="G145" s="27" t="n">
        <f aca="false">G144*Assumptions!$E$51/100/4</f>
        <v>8.83928571428572</v>
      </c>
      <c r="H145" s="27" t="n">
        <f aca="false">H144*Assumptions!$E$51/100/4</f>
        <v>12.18</v>
      </c>
      <c r="I145" s="27" t="n">
        <f aca="false">I144*Assumptions!$E$51/100/4</f>
        <v>14.67</v>
      </c>
      <c r="J145" s="27" t="n">
        <f aca="false">J144*Assumptions!$E$51/100/4</f>
        <v>17.2914285714286</v>
      </c>
      <c r="K145" s="27" t="n">
        <f aca="false">K144*Assumptions!$E$51/100/4</f>
        <v>18.9307142857143</v>
      </c>
      <c r="L145" s="52" t="n">
        <f aca="false">SUM(D145:K145)</f>
        <v>81.24</v>
      </c>
    </row>
    <row r="146" customFormat="false" ht="15" hidden="false" customHeight="false" outlineLevel="0" collapsed="false">
      <c r="A146" s="47" t="n">
        <v>36</v>
      </c>
      <c r="B146" s="21" t="s">
        <v>419</v>
      </c>
      <c r="C146" s="11" t="s">
        <v>381</v>
      </c>
      <c r="D146" s="27" t="n">
        <f aca="false">D145*Assumptions!$E$52*Assumptions!$E$53</f>
        <v>0.159042857142857</v>
      </c>
      <c r="E146" s="27" t="n">
        <f aca="false">E145*Assumptions!$E$52*Assumptions!$E$53</f>
        <v>0.494871428571429</v>
      </c>
      <c r="F146" s="27" t="n">
        <f aca="false">F145*Assumptions!$E$52*Assumptions!$E$53</f>
        <v>1.02522857142857</v>
      </c>
      <c r="G146" s="27" t="n">
        <f aca="false">G145*Assumptions!$E$52*Assumptions!$E$53</f>
        <v>1.59107142857143</v>
      </c>
      <c r="H146" s="27" t="n">
        <f aca="false">H145*Assumptions!$E$52*Assumptions!$E$53</f>
        <v>2.1924</v>
      </c>
      <c r="I146" s="27" t="n">
        <f aca="false">I145*Assumptions!$E$52*Assumptions!$E$53</f>
        <v>2.6406</v>
      </c>
      <c r="J146" s="27" t="n">
        <f aca="false">J145*Assumptions!$E$52*Assumptions!$E$53</f>
        <v>3.11245714285714</v>
      </c>
      <c r="K146" s="27" t="n">
        <f aca="false">K145*Assumptions!$E$52*Assumptions!$E$53</f>
        <v>3.40752857142857</v>
      </c>
      <c r="L146" s="52" t="n">
        <f aca="false">SUM(D146:K146)</f>
        <v>14.6232</v>
      </c>
    </row>
    <row r="147" customFormat="false" ht="15" hidden="false" customHeight="false" outlineLevel="0" collapsed="false">
      <c r="A147" s="47" t="n">
        <v>37</v>
      </c>
      <c r="B147" s="21" t="s">
        <v>420</v>
      </c>
      <c r="C147" s="11" t="s">
        <v>381</v>
      </c>
      <c r="D147" s="27" t="n">
        <f aca="false">D145*Assumptions!$E$55*Assumptions!$E$56</f>
        <v>0.0220892857142857</v>
      </c>
      <c r="E147" s="27" t="n">
        <f aca="false">E145*Assumptions!$E$55*Assumptions!$E$56</f>
        <v>0.0687321428571429</v>
      </c>
      <c r="F147" s="27" t="n">
        <f aca="false">F145*Assumptions!$E$55*Assumptions!$E$56</f>
        <v>0.142392857142857</v>
      </c>
      <c r="G147" s="27" t="n">
        <f aca="false">G145*Assumptions!$E$55*Assumptions!$E$56</f>
        <v>0.220982142857143</v>
      </c>
      <c r="H147" s="27" t="n">
        <f aca="false">H145*Assumptions!$E$55*Assumptions!$E$56</f>
        <v>0.3045</v>
      </c>
      <c r="I147" s="27" t="n">
        <f aca="false">I145*Assumptions!$E$55*Assumptions!$E$56</f>
        <v>0.36675</v>
      </c>
      <c r="J147" s="27" t="n">
        <f aca="false">J145*Assumptions!$E$55*Assumptions!$E$56</f>
        <v>0.432285714285714</v>
      </c>
      <c r="K147" s="27" t="n">
        <f aca="false">K145*Assumptions!$E$55*Assumptions!$E$56</f>
        <v>0.473267857142857</v>
      </c>
      <c r="L147" s="52" t="n">
        <f aca="false">SUM(D147:K147)</f>
        <v>2.031</v>
      </c>
    </row>
    <row r="148" customFormat="false" ht="15" hidden="false" customHeight="false" outlineLevel="0" collapsed="false">
      <c r="A148" s="47" t="n">
        <v>38</v>
      </c>
      <c r="B148" s="21" t="s">
        <v>421</v>
      </c>
      <c r="C148" s="11" t="s">
        <v>422</v>
      </c>
      <c r="D148" s="27" t="n">
        <f aca="false">D145*Assumptions!$E$58*Assumptions!$E$59</f>
        <v>1.76714285714286</v>
      </c>
      <c r="E148" s="27" t="n">
        <f aca="false">E145*Assumptions!$E$58*Assumptions!$E$59</f>
        <v>5.49857142857143</v>
      </c>
      <c r="F148" s="27" t="n">
        <f aca="false">F145*Assumptions!$E$58*Assumptions!$E$59</f>
        <v>11.3914285714286</v>
      </c>
      <c r="G148" s="27" t="n">
        <f aca="false">G145*Assumptions!$E$58*Assumptions!$E$59</f>
        <v>17.6785714285714</v>
      </c>
      <c r="H148" s="27" t="n">
        <f aca="false">H145*Assumptions!$E$58*Assumptions!$E$59</f>
        <v>24.36</v>
      </c>
      <c r="I148" s="27" t="n">
        <f aca="false">I145*Assumptions!$E$58*Assumptions!$E$59</f>
        <v>29.34</v>
      </c>
      <c r="J148" s="27" t="n">
        <f aca="false">J145*Assumptions!$E$58*Assumptions!$E$59</f>
        <v>34.5828571428571</v>
      </c>
      <c r="K148" s="27" t="n">
        <f aca="false">K145*Assumptions!$E$58*Assumptions!$E$59</f>
        <v>37.8614285714286</v>
      </c>
      <c r="L148" s="52" t="n">
        <f aca="false">SUM(D148:K148)</f>
        <v>162.48</v>
      </c>
    </row>
    <row r="149" customFormat="false" ht="15" hidden="false" customHeight="false" outlineLevel="0" collapsed="false">
      <c r="A149" s="47" t="n">
        <v>39</v>
      </c>
      <c r="B149" s="21" t="s">
        <v>423</v>
      </c>
      <c r="C149" s="11" t="s">
        <v>338</v>
      </c>
      <c r="D149" s="38" t="n">
        <f aca="false">D148*Assumptions!$E$7/30*Assumptions!$E$60/100</f>
        <v>7.06857142857143</v>
      </c>
      <c r="E149" s="38" t="n">
        <f aca="false">E148*Assumptions!$E$7/30*Assumptions!$E$60/100</f>
        <v>21.9942857142857</v>
      </c>
      <c r="F149" s="38" t="n">
        <f aca="false">F148*Assumptions!$E$7/30*Assumptions!$E$60/100</f>
        <v>45.5657142857143</v>
      </c>
      <c r="G149" s="38" t="n">
        <f aca="false">G148*Assumptions!$E$7/30*Assumptions!$E$60/100</f>
        <v>70.7142857142857</v>
      </c>
      <c r="H149" s="38" t="n">
        <f aca="false">H148*Assumptions!$E$7/30*Assumptions!$E$60/100</f>
        <v>97.44</v>
      </c>
      <c r="I149" s="38" t="n">
        <f aca="false">I148*Assumptions!$E$7/30*Assumptions!$E$60/100</f>
        <v>117.36</v>
      </c>
      <c r="J149" s="38" t="n">
        <f aca="false">J148*Assumptions!$E$7/30*Assumptions!$E$60/100</f>
        <v>138.331428571429</v>
      </c>
      <c r="K149" s="38" t="n">
        <f aca="false">K148*Assumptions!$E$7/30*Assumptions!$E$60/100</f>
        <v>151.445714285714</v>
      </c>
      <c r="L149" s="55" t="n">
        <f aca="false">SUM(D149:K149)</f>
        <v>649.92</v>
      </c>
    </row>
    <row r="150" customFormat="false" ht="15" hidden="false" customHeight="false" outlineLevel="0" collapsed="false">
      <c r="A150" s="47" t="n">
        <v>40</v>
      </c>
      <c r="B150" s="21" t="s">
        <v>424</v>
      </c>
      <c r="C150" s="11" t="s">
        <v>381</v>
      </c>
      <c r="D150" s="27" t="n">
        <f aca="false">N(C150)+D145*Assumptions!$E$61*Assumptions!$E$62</f>
        <v>0.0212057142857143</v>
      </c>
      <c r="E150" s="27" t="n">
        <f aca="false">N(D150)+E145*Assumptions!$E$61*Assumptions!$E$62</f>
        <v>0.0871885714285715</v>
      </c>
      <c r="F150" s="27" t="n">
        <f aca="false">N(E150)+F145*Assumptions!$E$61*Assumptions!$E$62</f>
        <v>0.223885714285714</v>
      </c>
      <c r="G150" s="27" t="n">
        <f aca="false">N(F150)+G145*Assumptions!$E$61*Assumptions!$E$62</f>
        <v>0.436028571428571</v>
      </c>
      <c r="H150" s="27" t="n">
        <f aca="false">N(G150)+H145*Assumptions!$E$61*Assumptions!$E$62</f>
        <v>0.728348571428572</v>
      </c>
      <c r="I150" s="27" t="n">
        <f aca="false">N(H150)+I145*Assumptions!$E$61*Assumptions!$E$62</f>
        <v>1.08042857142857</v>
      </c>
      <c r="J150" s="27" t="n">
        <f aca="false">N(I150)+J145*Assumptions!$E$61*Assumptions!$E$62</f>
        <v>1.49542285714286</v>
      </c>
      <c r="K150" s="27" t="n">
        <f aca="false">N(J150)+K145*Assumptions!$E$61*Assumptions!$E$62</f>
        <v>1.94976</v>
      </c>
      <c r="L150" s="49" t="n">
        <f aca="false">K150</f>
        <v>1.94976</v>
      </c>
    </row>
    <row r="151" customFormat="false" ht="15" hidden="false" customHeight="false" outlineLevel="0" collapsed="false">
      <c r="A151" s="47" t="n">
        <v>41</v>
      </c>
      <c r="B151" s="21" t="s">
        <v>425</v>
      </c>
      <c r="C151" s="11" t="s">
        <v>338</v>
      </c>
      <c r="D151" s="38" t="n">
        <f aca="false">D150*Assumptions!$E$7*3/100</f>
        <v>38.1702857142857</v>
      </c>
      <c r="E151" s="38" t="n">
        <f aca="false">E150*Assumptions!$E$7*3/100</f>
        <v>156.939428571429</v>
      </c>
      <c r="F151" s="38" t="n">
        <f aca="false">F150*Assumptions!$E$7*3/100</f>
        <v>402.994285714286</v>
      </c>
      <c r="G151" s="38" t="n">
        <f aca="false">G150*Assumptions!$E$7*3/100</f>
        <v>784.851428571429</v>
      </c>
      <c r="H151" s="38" t="n">
        <f aca="false">H150*Assumptions!$E$7*3/100</f>
        <v>1311.02742857143</v>
      </c>
      <c r="I151" s="38" t="n">
        <f aca="false">I150*Assumptions!$E$7*3/100</f>
        <v>1944.77142857143</v>
      </c>
      <c r="J151" s="38" t="n">
        <f aca="false">J150*Assumptions!$E$7*3/100</f>
        <v>2691.76114285714</v>
      </c>
      <c r="K151" s="38" t="n">
        <f aca="false">K150*Assumptions!$E$7*3/100</f>
        <v>3509.568</v>
      </c>
      <c r="L151" s="55" t="n">
        <f aca="false">SUM(D151:K151)</f>
        <v>10840.0834285714</v>
      </c>
    </row>
    <row r="152" customFormat="false" ht="15" hidden="false" customHeight="false" outlineLevel="0" collapsed="false">
      <c r="A152" s="47" t="n">
        <v>42</v>
      </c>
      <c r="B152" s="21" t="s">
        <v>426</v>
      </c>
      <c r="C152" s="11" t="s">
        <v>338</v>
      </c>
      <c r="D152" s="27" t="n">
        <f aca="false">D150*Assumptions!$E$8*3/100</f>
        <v>0.0572554285714286</v>
      </c>
      <c r="E152" s="27" t="n">
        <f aca="false">E150*Assumptions!$E$8*3/100</f>
        <v>0.235409142857143</v>
      </c>
      <c r="F152" s="27" t="n">
        <f aca="false">F150*Assumptions!$E$8*3/100</f>
        <v>0.604491428571429</v>
      </c>
      <c r="G152" s="27" t="n">
        <f aca="false">G150*Assumptions!$E$8*3/100</f>
        <v>1.17727714285714</v>
      </c>
      <c r="H152" s="27" t="n">
        <f aca="false">H150*Assumptions!$E$8*3/100</f>
        <v>1.96654114285714</v>
      </c>
      <c r="I152" s="27" t="n">
        <f aca="false">I150*Assumptions!$E$8*3/100</f>
        <v>2.91715714285714</v>
      </c>
      <c r="J152" s="27" t="n">
        <f aca="false">J150*Assumptions!$E$8*3/100</f>
        <v>4.03764171428572</v>
      </c>
      <c r="K152" s="27" t="n">
        <f aca="false">K150*Assumptions!$E$8*3/100</f>
        <v>5.264352</v>
      </c>
      <c r="L152" s="52" t="n">
        <f aca="false">SUM(D152:K152)</f>
        <v>16.2601251428571</v>
      </c>
    </row>
    <row r="153" customFormat="false" ht="15" hidden="false" customHeight="false" outlineLevel="0" collapsed="false">
      <c r="A153" s="47" t="n">
        <v>43</v>
      </c>
      <c r="B153" s="21" t="s">
        <v>427</v>
      </c>
      <c r="C153" s="11" t="s">
        <v>338</v>
      </c>
      <c r="D153" s="27" t="n">
        <f aca="false">(D149+D151)*Assumptions!$E$6</f>
        <v>0.0180955428571429</v>
      </c>
      <c r="E153" s="27" t="n">
        <f aca="false">(E149+E151)*Assumptions!$E$6</f>
        <v>0.0715734857142857</v>
      </c>
      <c r="F153" s="27" t="n">
        <f aca="false">(F149+F151)*Assumptions!$E$6</f>
        <v>0.179424</v>
      </c>
      <c r="G153" s="27" t="n">
        <f aca="false">(G149+G151)*Assumptions!$E$6</f>
        <v>0.342226285714286</v>
      </c>
      <c r="H153" s="27" t="n">
        <f aca="false">(H149+H151)*Assumptions!$E$6</f>
        <v>0.563386971428572</v>
      </c>
      <c r="I153" s="27" t="n">
        <f aca="false">(I149+I151)*Assumptions!$E$6</f>
        <v>0.824852571428572</v>
      </c>
      <c r="J153" s="27" t="n">
        <f aca="false">(J149+J151)*Assumptions!$E$6</f>
        <v>1.13203702857143</v>
      </c>
      <c r="K153" s="27" t="n">
        <f aca="false">(K149+K151)*Assumptions!$E$6</f>
        <v>1.46440548571429</v>
      </c>
      <c r="L153" s="52" t="n">
        <f aca="false">SUM(D153:K153)</f>
        <v>4.59600137142857</v>
      </c>
    </row>
    <row r="154" customFormat="false" ht="15" hidden="false" customHeight="false" outlineLevel="0" collapsed="false">
      <c r="A154" s="47" t="n">
        <v>44</v>
      </c>
      <c r="B154" s="21" t="s">
        <v>428</v>
      </c>
      <c r="C154" s="11" t="s">
        <v>338</v>
      </c>
      <c r="D154" s="27" t="n">
        <f aca="false">D152+D153</f>
        <v>0.0753509714285714</v>
      </c>
      <c r="E154" s="27" t="n">
        <f aca="false">E152+E153</f>
        <v>0.306982628571429</v>
      </c>
      <c r="F154" s="27" t="n">
        <f aca="false">F152+F153</f>
        <v>0.783915428571429</v>
      </c>
      <c r="G154" s="27" t="n">
        <f aca="false">G152+G153</f>
        <v>1.51950342857143</v>
      </c>
      <c r="H154" s="27" t="n">
        <f aca="false">H152+H153</f>
        <v>2.52992811428571</v>
      </c>
      <c r="I154" s="27" t="n">
        <f aca="false">I152+I153</f>
        <v>3.74200971428571</v>
      </c>
      <c r="J154" s="27" t="n">
        <f aca="false">J152+J153</f>
        <v>5.16967874285714</v>
      </c>
      <c r="K154" s="27" t="n">
        <f aca="false">K152+K153</f>
        <v>6.72875748571429</v>
      </c>
      <c r="L154" s="52" t="n">
        <f aca="false">SUM(D154:K154)</f>
        <v>20.8561265142857</v>
      </c>
    </row>
    <row r="155" customFormat="false" ht="15" hidden="false" customHeight="false" outlineLevel="0" collapsed="false">
      <c r="A155" s="47" t="n">
        <v>45</v>
      </c>
      <c r="B155" s="21" t="s">
        <v>429</v>
      </c>
      <c r="C155" s="11" t="s">
        <v>338</v>
      </c>
      <c r="D155" s="27" t="n">
        <f aca="false">D146*Assumptions!$E$54/100</f>
        <v>0.55665</v>
      </c>
      <c r="E155" s="27" t="n">
        <f aca="false">E146*Assumptions!$E$54/100</f>
        <v>1.73205</v>
      </c>
      <c r="F155" s="27" t="n">
        <f aca="false">F146*Assumptions!$E$54/100</f>
        <v>3.5883</v>
      </c>
      <c r="G155" s="27" t="n">
        <f aca="false">G146*Assumptions!$E$54/100</f>
        <v>5.56875</v>
      </c>
      <c r="H155" s="27" t="n">
        <f aca="false">H146*Assumptions!$E$54/100</f>
        <v>7.6734</v>
      </c>
      <c r="I155" s="27" t="n">
        <f aca="false">I146*Assumptions!$E$54/100</f>
        <v>9.2421</v>
      </c>
      <c r="J155" s="27" t="n">
        <f aca="false">J146*Assumptions!$E$54/100</f>
        <v>10.8936</v>
      </c>
      <c r="K155" s="27" t="n">
        <f aca="false">K146*Assumptions!$E$54/100</f>
        <v>11.92635</v>
      </c>
      <c r="L155" s="52" t="n">
        <f aca="false">SUM(D155:K155)</f>
        <v>51.1812</v>
      </c>
    </row>
    <row r="156" customFormat="false" ht="15" hidden="false" customHeight="false" outlineLevel="0" collapsed="false">
      <c r="A156" s="47" t="n">
        <v>46</v>
      </c>
      <c r="B156" s="21" t="s">
        <v>430</v>
      </c>
      <c r="C156" s="11" t="s">
        <v>338</v>
      </c>
      <c r="D156" s="27" t="n">
        <f aca="false">D147*Assumptions!$E$57/100</f>
        <v>0.331339285714286</v>
      </c>
      <c r="E156" s="27" t="n">
        <f aca="false">E147*Assumptions!$E$57/100</f>
        <v>1.03098214285714</v>
      </c>
      <c r="F156" s="27" t="n">
        <f aca="false">F147*Assumptions!$E$57/100</f>
        <v>2.13589285714286</v>
      </c>
      <c r="G156" s="27" t="n">
        <f aca="false">G147*Assumptions!$E$57/100</f>
        <v>3.31473214285714</v>
      </c>
      <c r="H156" s="27" t="n">
        <f aca="false">H147*Assumptions!$E$57/100</f>
        <v>4.5675</v>
      </c>
      <c r="I156" s="27" t="n">
        <f aca="false">I147*Assumptions!$E$57/100</f>
        <v>5.50125</v>
      </c>
      <c r="J156" s="27" t="n">
        <f aca="false">J147*Assumptions!$E$57/100</f>
        <v>6.48428571428572</v>
      </c>
      <c r="K156" s="27" t="n">
        <f aca="false">K147*Assumptions!$E$57/100</f>
        <v>7.09901785714286</v>
      </c>
      <c r="L156" s="52" t="n">
        <f aca="false">SUM(D156:K156)</f>
        <v>30.465</v>
      </c>
    </row>
    <row r="157" customFormat="false" ht="15" hidden="false" customHeight="false" outlineLevel="0" collapsed="false">
      <c r="A157" s="47" t="n">
        <v>47</v>
      </c>
      <c r="B157" s="21" t="s">
        <v>431</v>
      </c>
      <c r="C157" s="11" t="s">
        <v>338</v>
      </c>
      <c r="D157" s="27" t="n">
        <f aca="false">D155+D156</f>
        <v>0.887989285714286</v>
      </c>
      <c r="E157" s="27" t="n">
        <f aca="false">E155+E156</f>
        <v>2.76303214285714</v>
      </c>
      <c r="F157" s="27" t="n">
        <f aca="false">F155+F156</f>
        <v>5.72419285714286</v>
      </c>
      <c r="G157" s="27" t="n">
        <f aca="false">G155+G156</f>
        <v>8.88348214285714</v>
      </c>
      <c r="H157" s="27" t="n">
        <f aca="false">H155+H156</f>
        <v>12.2409</v>
      </c>
      <c r="I157" s="27" t="n">
        <f aca="false">I155+I156</f>
        <v>14.74335</v>
      </c>
      <c r="J157" s="27" t="n">
        <f aca="false">J155+J156</f>
        <v>17.3778857142857</v>
      </c>
      <c r="K157" s="27" t="n">
        <f aca="false">K155+K156</f>
        <v>19.0253678571429</v>
      </c>
      <c r="L157" s="52" t="n">
        <f aca="false">SUM(D157:K157)</f>
        <v>81.6462</v>
      </c>
    </row>
    <row r="158" customFormat="false" ht="15" hidden="false" customHeight="false" outlineLevel="0" collapsed="false">
      <c r="A158" s="47" t="n">
        <v>48</v>
      </c>
      <c r="B158" s="21" t="s">
        <v>432</v>
      </c>
      <c r="C158" s="11" t="s">
        <v>338</v>
      </c>
      <c r="D158" s="27" t="n">
        <f aca="false">D144*Assumptions!$E$63*3/100+D145*Assumptions!$E$64/100</f>
        <v>0.353428571428572</v>
      </c>
      <c r="E158" s="27" t="n">
        <f aca="false">E144*Assumptions!$E$63*3/100+E145*Assumptions!$E$64/100</f>
        <v>1.09971428571429</v>
      </c>
      <c r="F158" s="27" t="n">
        <f aca="false">F144*Assumptions!$E$63*3/100+F145*Assumptions!$E$64/100</f>
        <v>2.27828571428571</v>
      </c>
      <c r="G158" s="27" t="n">
        <f aca="false">G144*Assumptions!$E$63*3/100+G145*Assumptions!$E$64/100</f>
        <v>3.53571428571429</v>
      </c>
      <c r="H158" s="27" t="n">
        <f aca="false">H144*Assumptions!$E$63*3/100+H145*Assumptions!$E$64/100</f>
        <v>4.872</v>
      </c>
      <c r="I158" s="27" t="n">
        <f aca="false">I144*Assumptions!$E$63*3/100+I145*Assumptions!$E$64/100</f>
        <v>5.868</v>
      </c>
      <c r="J158" s="27" t="n">
        <f aca="false">J144*Assumptions!$E$63*3/100+J145*Assumptions!$E$64/100</f>
        <v>6.91657142857143</v>
      </c>
      <c r="K158" s="27" t="n">
        <f aca="false">K144*Assumptions!$E$63*3/100+K145*Assumptions!$E$64/100</f>
        <v>7.57228571428571</v>
      </c>
      <c r="L158" s="52" t="n">
        <f aca="false">SUM(D158:K158)</f>
        <v>32.496</v>
      </c>
    </row>
    <row r="159" customFormat="false" ht="15" hidden="false" customHeight="false" outlineLevel="0" collapsed="false">
      <c r="A159" s="47" t="n">
        <v>49</v>
      </c>
      <c r="B159" s="19" t="s">
        <v>433</v>
      </c>
      <c r="C159" s="11" t="s">
        <v>338</v>
      </c>
      <c r="D159" s="52" t="n">
        <f aca="false">D154+D157-D158</f>
        <v>0.609911685714286</v>
      </c>
      <c r="E159" s="52" t="n">
        <f aca="false">E154+E157-E158</f>
        <v>1.97030048571429</v>
      </c>
      <c r="F159" s="52" t="n">
        <f aca="false">F154+F157-F158</f>
        <v>4.22982257142857</v>
      </c>
      <c r="G159" s="52" t="n">
        <f aca="false">G154+G157-G158</f>
        <v>6.86727128571429</v>
      </c>
      <c r="H159" s="52" t="n">
        <f aca="false">H154+H157-H158</f>
        <v>9.89882811428571</v>
      </c>
      <c r="I159" s="52" t="n">
        <f aca="false">I154+I157-I158</f>
        <v>12.6173597142857</v>
      </c>
      <c r="J159" s="52" t="n">
        <f aca="false">J154+J157-J158</f>
        <v>15.6309930285714</v>
      </c>
      <c r="K159" s="52" t="n">
        <f aca="false">K154+K157-K158</f>
        <v>18.1818396285714</v>
      </c>
      <c r="L159" s="52" t="n">
        <f aca="false">SUM(D159:K159)</f>
        <v>70.0063265142857</v>
      </c>
    </row>
    <row r="160" customFormat="false" ht="15" hidden="false" customHeight="false" outlineLevel="0" collapsed="false">
      <c r="A160" s="45"/>
      <c r="B160" s="46" t="s">
        <v>434</v>
      </c>
      <c r="C160" s="45"/>
      <c r="D160" s="45"/>
      <c r="E160" s="45"/>
      <c r="F160" s="45"/>
      <c r="G160" s="45"/>
      <c r="H160" s="45"/>
      <c r="I160" s="45"/>
      <c r="J160" s="45"/>
      <c r="K160" s="45"/>
      <c r="L160" s="45"/>
    </row>
    <row r="161" customFormat="false" ht="15" hidden="false" customHeight="false" outlineLevel="0" collapsed="false">
      <c r="A161" s="47" t="n">
        <v>50</v>
      </c>
      <c r="B161" s="21" t="s">
        <v>435</v>
      </c>
      <c r="C161" s="11" t="s">
        <v>256</v>
      </c>
      <c r="D161" s="50" t="n">
        <f aca="false">Assumptions!D$81</f>
        <v>0</v>
      </c>
      <c r="E161" s="50" t="n">
        <f aca="false">Assumptions!E$81</f>
        <v>0.05</v>
      </c>
      <c r="F161" s="50" t="n">
        <f aca="false">Assumptions!F$81</f>
        <v>0.15</v>
      </c>
      <c r="G161" s="50" t="n">
        <f aca="false">Assumptions!G$81</f>
        <v>0.25</v>
      </c>
      <c r="H161" s="50" t="n">
        <f aca="false">Assumptions!H$81</f>
        <v>0.35</v>
      </c>
      <c r="I161" s="50" t="n">
        <f aca="false">Assumptions!I$81</f>
        <v>0.45</v>
      </c>
      <c r="J161" s="50" t="n">
        <f aca="false">Assumptions!J$81</f>
        <v>0.55</v>
      </c>
      <c r="K161" s="50" t="n">
        <f aca="false">Assumptions!K$81</f>
        <v>0.6</v>
      </c>
      <c r="L161" s="51" t="n">
        <f aca="false">K161</f>
        <v>0.6</v>
      </c>
    </row>
    <row r="162" customFormat="false" ht="15" hidden="false" customHeight="false" outlineLevel="0" collapsed="false">
      <c r="A162" s="47" t="n">
        <v>51</v>
      </c>
      <c r="B162" s="21" t="s">
        <v>436</v>
      </c>
      <c r="C162" s="11" t="s">
        <v>381</v>
      </c>
      <c r="D162" s="27" t="n">
        <f aca="false">D108*Assumptions!$E$67*D161*Assumptions!$E$68</f>
        <v>0</v>
      </c>
      <c r="E162" s="27" t="n">
        <f aca="false">E108*Assumptions!$E$67*E161*Assumptions!$E$68</f>
        <v>0.274928571428571</v>
      </c>
      <c r="F162" s="27" t="n">
        <f aca="false">F108*Assumptions!$E$67*F161*Assumptions!$E$68</f>
        <v>0.854357142857143</v>
      </c>
      <c r="G162" s="27" t="n">
        <f aca="false">G108*Assumptions!$E$67*G161*Assumptions!$E$68</f>
        <v>1.47321428571429</v>
      </c>
      <c r="H162" s="27" t="n">
        <f aca="false">H108*Assumptions!$E$67*H161*Assumptions!$E$68</f>
        <v>2.1315</v>
      </c>
      <c r="I162" s="27" t="n">
        <f aca="false">I108*Assumptions!$E$67*I161*Assumptions!$E$68</f>
        <v>2.82921428571429</v>
      </c>
      <c r="J162" s="27" t="n">
        <f aca="false">J108*Assumptions!$E$67*J161*Assumptions!$E$68</f>
        <v>3.56635714285714</v>
      </c>
      <c r="K162" s="27" t="n">
        <f aca="false">K108*Assumptions!$E$67*K161*Assumptions!$E$68</f>
        <v>4.00885714285714</v>
      </c>
      <c r="L162" s="49" t="n">
        <f aca="false">K162</f>
        <v>4.00885714285714</v>
      </c>
    </row>
    <row r="163" customFormat="false" ht="15" hidden="false" customHeight="false" outlineLevel="0" collapsed="false">
      <c r="A163" s="47" t="n">
        <v>52</v>
      </c>
      <c r="B163" s="21" t="s">
        <v>437</v>
      </c>
      <c r="C163" s="11" t="s">
        <v>381</v>
      </c>
      <c r="D163" s="27" t="n">
        <f aca="false">D162*Assumptions!$E$69*3</f>
        <v>0</v>
      </c>
      <c r="E163" s="27" t="n">
        <f aca="false">E162*Assumptions!$E$69*3</f>
        <v>3.29914285714286</v>
      </c>
      <c r="F163" s="27" t="n">
        <f aca="false">F162*Assumptions!$E$69*3</f>
        <v>10.2522857142857</v>
      </c>
      <c r="G163" s="27" t="n">
        <f aca="false">G162*Assumptions!$E$69*3</f>
        <v>17.6785714285714</v>
      </c>
      <c r="H163" s="27" t="n">
        <f aca="false">H162*Assumptions!$E$69*3</f>
        <v>25.578</v>
      </c>
      <c r="I163" s="27" t="n">
        <f aca="false">I162*Assumptions!$E$69*3</f>
        <v>33.9505714285714</v>
      </c>
      <c r="J163" s="27" t="n">
        <f aca="false">J162*Assumptions!$E$69*3</f>
        <v>42.7962857142857</v>
      </c>
      <c r="K163" s="27" t="n">
        <f aca="false">K162*Assumptions!$E$69*3</f>
        <v>48.1062857142857</v>
      </c>
      <c r="L163" s="52" t="n">
        <f aca="false">SUM(D163:K163)</f>
        <v>181.661142857143</v>
      </c>
    </row>
    <row r="164" customFormat="false" ht="15" hidden="false" customHeight="false" outlineLevel="0" collapsed="false">
      <c r="A164" s="47" t="n">
        <v>53</v>
      </c>
      <c r="B164" s="21" t="s">
        <v>438</v>
      </c>
      <c r="C164" s="11" t="s">
        <v>338</v>
      </c>
      <c r="D164" s="38" t="n">
        <f aca="false">D163*Assumptions!$E$70/100*Assumptions!$E$71</f>
        <v>0</v>
      </c>
      <c r="E164" s="38" t="n">
        <f aca="false">E163*Assumptions!$E$70/100*Assumptions!$E$71</f>
        <v>4.94871428571429</v>
      </c>
      <c r="F164" s="38" t="n">
        <f aca="false">F163*Assumptions!$E$70/100*Assumptions!$E$71</f>
        <v>15.3784285714286</v>
      </c>
      <c r="G164" s="38" t="n">
        <f aca="false">G163*Assumptions!$E$70/100*Assumptions!$E$71</f>
        <v>26.5178571428571</v>
      </c>
      <c r="H164" s="38" t="n">
        <f aca="false">H163*Assumptions!$E$70/100*Assumptions!$E$71</f>
        <v>38.367</v>
      </c>
      <c r="I164" s="38" t="n">
        <f aca="false">I163*Assumptions!$E$70/100*Assumptions!$E$71</f>
        <v>50.9258571428571</v>
      </c>
      <c r="J164" s="38" t="n">
        <f aca="false">J163*Assumptions!$E$70/100*Assumptions!$E$71</f>
        <v>64.1944285714286</v>
      </c>
      <c r="K164" s="38" t="n">
        <f aca="false">K163*Assumptions!$E$70/100*Assumptions!$E$71</f>
        <v>72.1594285714286</v>
      </c>
      <c r="L164" s="55" t="n">
        <f aca="false">SUM(D164:K164)</f>
        <v>272.491714285714</v>
      </c>
    </row>
    <row r="165" customFormat="false" ht="15" hidden="false" customHeight="false" outlineLevel="0" collapsed="false">
      <c r="A165" s="47" t="n">
        <v>54</v>
      </c>
      <c r="B165" s="21" t="s">
        <v>439</v>
      </c>
      <c r="C165" s="11" t="s">
        <v>338</v>
      </c>
      <c r="D165" s="27" t="n">
        <f aca="false">D163*Assumptions!$E$72/100+D164*Assumptions!$E$6</f>
        <v>0</v>
      </c>
      <c r="E165" s="27" t="n">
        <f aca="false">E163*Assumptions!$E$72/100+E164*Assumptions!$E$6</f>
        <v>0.397876628571429</v>
      </c>
      <c r="F165" s="27" t="n">
        <f aca="false">F163*Assumptions!$E$72/100+F164*Assumptions!$E$6</f>
        <v>1.23642565714286</v>
      </c>
      <c r="G165" s="27" t="n">
        <f aca="false">G163*Assumptions!$E$72/100+G164*Assumptions!$E$6</f>
        <v>2.13203571428571</v>
      </c>
      <c r="H165" s="27" t="n">
        <f aca="false">H163*Assumptions!$E$72/100+H164*Assumptions!$E$6</f>
        <v>3.0847068</v>
      </c>
      <c r="I165" s="27" t="n">
        <f aca="false">I163*Assumptions!$E$72/100+I164*Assumptions!$E$6</f>
        <v>4.09443891428571</v>
      </c>
      <c r="J165" s="27" t="n">
        <f aca="false">J163*Assumptions!$E$72/100+J164*Assumptions!$E$6</f>
        <v>5.16123205714286</v>
      </c>
      <c r="K165" s="27" t="n">
        <f aca="false">K163*Assumptions!$E$72/100+K164*Assumptions!$E$6</f>
        <v>5.80161805714286</v>
      </c>
      <c r="L165" s="52" t="n">
        <f aca="false">SUM(D165:K165)</f>
        <v>21.9083338285714</v>
      </c>
    </row>
    <row r="166" customFormat="false" ht="15" hidden="false" customHeight="false" outlineLevel="0" collapsed="false">
      <c r="A166" s="47" t="n">
        <v>55</v>
      </c>
      <c r="B166" s="21" t="s">
        <v>440</v>
      </c>
      <c r="C166" s="11" t="s">
        <v>338</v>
      </c>
      <c r="D166" s="27" t="n">
        <f aca="false">D163*Assumptions!$E$73/100</f>
        <v>0</v>
      </c>
      <c r="E166" s="27" t="n">
        <f aca="false">E163*Assumptions!$E$73/100</f>
        <v>0.329914285714286</v>
      </c>
      <c r="F166" s="27" t="n">
        <f aca="false">F163*Assumptions!$E$73/100</f>
        <v>1.02522857142857</v>
      </c>
      <c r="G166" s="27" t="n">
        <f aca="false">G163*Assumptions!$E$73/100</f>
        <v>1.76785714285714</v>
      </c>
      <c r="H166" s="27" t="n">
        <f aca="false">H163*Assumptions!$E$73/100</f>
        <v>2.5578</v>
      </c>
      <c r="I166" s="27" t="n">
        <f aca="false">I163*Assumptions!$E$73/100</f>
        <v>3.39505714285714</v>
      </c>
      <c r="J166" s="27" t="n">
        <f aca="false">J163*Assumptions!$E$73/100</f>
        <v>4.27962857142857</v>
      </c>
      <c r="K166" s="27" t="n">
        <f aca="false">K163*Assumptions!$E$73/100</f>
        <v>4.81062857142857</v>
      </c>
      <c r="L166" s="52" t="n">
        <f aca="false">SUM(D166:K166)</f>
        <v>18.1661142857143</v>
      </c>
    </row>
    <row r="167" customFormat="false" ht="15" hidden="false" customHeight="false" outlineLevel="0" collapsed="false">
      <c r="A167" s="47" t="n">
        <v>56</v>
      </c>
      <c r="B167" s="21" t="s">
        <v>441</v>
      </c>
      <c r="C167" s="11" t="s">
        <v>338</v>
      </c>
      <c r="D167" s="27" t="n">
        <f aca="false">D162*Assumptions!$E$74*3/100+D163*Assumptions!$E$75/100</f>
        <v>0</v>
      </c>
      <c r="E167" s="27" t="n">
        <f aca="false">E162*Assumptions!$E$74*3/100+E163*Assumptions!$E$75/100</f>
        <v>0.0824785714285715</v>
      </c>
      <c r="F167" s="27" t="n">
        <f aca="false">F162*Assumptions!$E$74*3/100+F163*Assumptions!$E$75/100</f>
        <v>0.256307142857143</v>
      </c>
      <c r="G167" s="27" t="n">
        <f aca="false">G162*Assumptions!$E$74*3/100+G163*Assumptions!$E$75/100</f>
        <v>0.441964285714286</v>
      </c>
      <c r="H167" s="27" t="n">
        <f aca="false">H162*Assumptions!$E$74*3/100+H163*Assumptions!$E$75/100</f>
        <v>0.63945</v>
      </c>
      <c r="I167" s="27" t="n">
        <f aca="false">I162*Assumptions!$E$74*3/100+I163*Assumptions!$E$75/100</f>
        <v>0.848764285714286</v>
      </c>
      <c r="J167" s="27" t="n">
        <f aca="false">J162*Assumptions!$E$74*3/100+J163*Assumptions!$E$75/100</f>
        <v>1.06990714285714</v>
      </c>
      <c r="K167" s="27" t="n">
        <f aca="false">K162*Assumptions!$E$74*3/100+K163*Assumptions!$E$75/100</f>
        <v>1.20265714285714</v>
      </c>
      <c r="L167" s="52" t="n">
        <f aca="false">SUM(D167:K167)</f>
        <v>4.54152857142857</v>
      </c>
    </row>
    <row r="168" customFormat="false" ht="15" hidden="false" customHeight="false" outlineLevel="0" collapsed="false">
      <c r="A168" s="47" t="n">
        <v>57</v>
      </c>
      <c r="B168" s="21" t="s">
        <v>442</v>
      </c>
      <c r="C168" s="11" t="s">
        <v>338</v>
      </c>
      <c r="D168" s="27" t="n">
        <f aca="false">D165+D166-D167</f>
        <v>0</v>
      </c>
      <c r="E168" s="27" t="n">
        <f aca="false">E165+E166-E167</f>
        <v>0.645312342857143</v>
      </c>
      <c r="F168" s="27" t="n">
        <f aca="false">F165+F166-F167</f>
        <v>2.00534708571429</v>
      </c>
      <c r="G168" s="27" t="n">
        <f aca="false">G165+G166-G167</f>
        <v>3.45792857142857</v>
      </c>
      <c r="H168" s="27" t="n">
        <f aca="false">H165+H166-H167</f>
        <v>5.0030568</v>
      </c>
      <c r="I168" s="27" t="n">
        <f aca="false">I165+I166-I167</f>
        <v>6.64073177142857</v>
      </c>
      <c r="J168" s="27" t="n">
        <f aca="false">J165+J166-J167</f>
        <v>8.37095348571429</v>
      </c>
      <c r="K168" s="27" t="n">
        <f aca="false">K165+K166-K167</f>
        <v>9.40958948571429</v>
      </c>
      <c r="L168" s="52" t="n">
        <f aca="false">SUM(D168:K168)</f>
        <v>35.5329195428571</v>
      </c>
    </row>
    <row r="169" customFormat="false" ht="15" hidden="false" customHeight="false" outlineLevel="0" collapsed="false">
      <c r="A169" s="45"/>
      <c r="B169" s="46" t="s">
        <v>443</v>
      </c>
      <c r="C169" s="45"/>
      <c r="D169" s="45"/>
      <c r="E169" s="45"/>
      <c r="F169" s="45"/>
      <c r="G169" s="45"/>
      <c r="H169" s="45"/>
      <c r="I169" s="45"/>
      <c r="J169" s="45"/>
      <c r="K169" s="45"/>
      <c r="L169" s="45"/>
    </row>
    <row r="170" customFormat="false" ht="15" hidden="false" customHeight="false" outlineLevel="0" collapsed="false">
      <c r="A170" s="47" t="n">
        <v>58</v>
      </c>
      <c r="B170" s="19" t="s">
        <v>444</v>
      </c>
      <c r="C170" s="11" t="s">
        <v>338</v>
      </c>
      <c r="D170" s="54" t="n">
        <f aca="false">D116+D117+D149+D151+D164*Assumptions!$E$66</f>
        <v>207.886685714286</v>
      </c>
      <c r="E170" s="54" t="n">
        <f aca="false">E116+E117+E149+E151+E164*Assumptions!$E$66</f>
        <v>685.022228571429</v>
      </c>
      <c r="F170" s="54" t="n">
        <f aca="false">F116+F117+F149+F151+F164*Assumptions!$E$66</f>
        <v>1497.02708571429</v>
      </c>
      <c r="G170" s="54" t="n">
        <f aca="false">G116+G117+G149+G151+G164*Assumptions!$E$66</f>
        <v>2663.49428571429</v>
      </c>
      <c r="H170" s="54" t="n">
        <f aca="false">H116+H117+H149+H151+H164*Assumptions!$E$66</f>
        <v>4211.08542857143</v>
      </c>
      <c r="I170" s="54" t="n">
        <f aca="false">I116+I117+I149+I151+I164*Assumptions!$E$66</f>
        <v>5919.92228571429</v>
      </c>
      <c r="J170" s="54" t="n">
        <f aca="false">J116+J117+J149+J151+J164*Assumptions!$E$66</f>
        <v>7803.53971428571</v>
      </c>
      <c r="K170" s="54" t="n">
        <f aca="false">K116+K117+K149+K151+K164*Assumptions!$E$66</f>
        <v>9810.60057142857</v>
      </c>
      <c r="L170" s="54" t="n">
        <f aca="false">SUM(D170:K170)</f>
        <v>32798.5782857143</v>
      </c>
    </row>
    <row r="171" customFormat="false" ht="15" hidden="false" customHeight="false" outlineLevel="0" collapsed="false">
      <c r="A171" s="47" t="n">
        <v>59</v>
      </c>
      <c r="B171" s="21" t="s">
        <v>444</v>
      </c>
      <c r="C171" s="11" t="s">
        <v>445</v>
      </c>
      <c r="D171" s="56" t="n">
        <f aca="false">D170/100000</f>
        <v>0.00207886685714286</v>
      </c>
      <c r="E171" s="56" t="n">
        <f aca="false">E170/100000</f>
        <v>0.00685022228571429</v>
      </c>
      <c r="F171" s="56" t="n">
        <f aca="false">F170/100000</f>
        <v>0.0149702708571429</v>
      </c>
      <c r="G171" s="56" t="n">
        <f aca="false">G170/100000</f>
        <v>0.0266349428571429</v>
      </c>
      <c r="H171" s="56" t="n">
        <f aca="false">H170/100000</f>
        <v>0.0421108542857143</v>
      </c>
      <c r="I171" s="56" t="n">
        <f aca="false">I170/100000</f>
        <v>0.0591992228571429</v>
      </c>
      <c r="J171" s="56" t="n">
        <f aca="false">J170/100000</f>
        <v>0.0780353971428571</v>
      </c>
      <c r="K171" s="56" t="n">
        <f aca="false">K170/100000</f>
        <v>0.0981060057142857</v>
      </c>
      <c r="L171" s="57" t="n">
        <f aca="false">SUM(D171:K171)</f>
        <v>0.327985782857143</v>
      </c>
    </row>
    <row r="172" customFormat="false" ht="15" hidden="false" customHeight="false" outlineLevel="0" collapsed="false">
      <c r="A172" s="47" t="n">
        <v>60</v>
      </c>
      <c r="B172" s="21" t="s">
        <v>446</v>
      </c>
      <c r="C172" s="11" t="s">
        <v>445</v>
      </c>
      <c r="D172" s="48" t="n">
        <f aca="false">Baseline!E15</f>
        <v>7.94869047619048</v>
      </c>
      <c r="E172" s="48" t="n">
        <f aca="false">Baseline!E16</f>
        <v>8.29714285714286</v>
      </c>
      <c r="F172" s="48" t="n">
        <f aca="false">Baseline!E17</f>
        <v>8.64559523809524</v>
      </c>
      <c r="G172" s="48" t="n">
        <f aca="false">Baseline!E18</f>
        <v>8.99404761904762</v>
      </c>
      <c r="H172" s="48" t="n">
        <f aca="false">Baseline!E19</f>
        <v>9.3425</v>
      </c>
      <c r="I172" s="48" t="n">
        <f aca="false">Baseline!E20</f>
        <v>9.69095238095238</v>
      </c>
      <c r="J172" s="48" t="n">
        <f aca="false">Baseline!E21</f>
        <v>10.0394047619048</v>
      </c>
      <c r="K172" s="48" t="n">
        <f aca="false">Baseline!E22</f>
        <v>10.3878571428571</v>
      </c>
      <c r="L172" s="52" t="n">
        <f aca="false">SUM(D172:K172)</f>
        <v>73.3461904761905</v>
      </c>
    </row>
    <row r="173" customFormat="false" ht="15" hidden="false" customHeight="false" outlineLevel="0" collapsed="false">
      <c r="A173" s="47" t="n">
        <v>61</v>
      </c>
      <c r="B173" s="21" t="s">
        <v>447</v>
      </c>
      <c r="C173" s="11" t="s">
        <v>448</v>
      </c>
      <c r="D173" s="58" t="n">
        <f aca="false">IF(D172&gt;0,D171/D172,0)</f>
        <v>0.000261535766598272</v>
      </c>
      <c r="E173" s="58" t="n">
        <f aca="false">IF(E172&gt;0,E171/E172,0)</f>
        <v>0.000825612190082645</v>
      </c>
      <c r="F173" s="58" t="n">
        <f aca="false">IF(F172&gt;0,F171/F172,0)</f>
        <v>0.00173154889222423</v>
      </c>
      <c r="G173" s="58" t="n">
        <f aca="false">IF(G172&gt;0,G171/G172,0)</f>
        <v>0.00296139669093316</v>
      </c>
      <c r="H173" s="58" t="n">
        <f aca="false">IF(H172&gt;0,H171/H172,0)</f>
        <v>0.00450745028479682</v>
      </c>
      <c r="I173" s="58" t="n">
        <f aca="false">IF(I172&gt;0,I171/I172,0)</f>
        <v>0.00610871053019508</v>
      </c>
      <c r="J173" s="58" t="n">
        <f aca="false">IF(J172&gt;0,J171/J172,0)</f>
        <v>0.00777291074456605</v>
      </c>
      <c r="K173" s="58" t="n">
        <f aca="false">IF(K172&gt;0,K171/K172,0)</f>
        <v>0.00944429677508079</v>
      </c>
      <c r="L173" s="59" t="n">
        <f aca="false">IF(L172&gt;0,L171/L172,0)</f>
        <v>0.00447174939458666</v>
      </c>
    </row>
    <row r="174" customFormat="false" ht="15" hidden="false" customHeight="false" outlineLevel="0" collapsed="false">
      <c r="A174" s="47" t="n">
        <v>62</v>
      </c>
      <c r="B174" s="21" t="s">
        <v>449</v>
      </c>
      <c r="C174" s="11" t="s">
        <v>338</v>
      </c>
      <c r="D174" s="27" t="n">
        <f aca="false">D133+D154+D165*Assumptions!$E$66</f>
        <v>0.567678738571429</v>
      </c>
      <c r="E174" s="27" t="n">
        <f aca="false">E133+E154+E165*Assumptions!$E$66</f>
        <v>1.83889012714286</v>
      </c>
      <c r="F174" s="27" t="n">
        <f aca="false">F133+F154+F165*Assumptions!$E$66</f>
        <v>3.95757882</v>
      </c>
      <c r="G174" s="27" t="n">
        <f aca="false">G133+G154+G165*Assumptions!$E$66</f>
        <v>6.99202307142857</v>
      </c>
      <c r="H174" s="27" t="n">
        <f aca="false">H133+H154+H165*Assumptions!$E$66</f>
        <v>11.0133285642857</v>
      </c>
      <c r="I174" s="27" t="n">
        <f aca="false">I133+I154+I165*Assumptions!$E$66</f>
        <v>15.4193716285714</v>
      </c>
      <c r="J174" s="27" t="n">
        <f aca="false">J133+J154+J165*Assumptions!$E$66</f>
        <v>20.2240827785714</v>
      </c>
      <c r="K174" s="27" t="n">
        <f aca="false">K133+K154+K165*Assumptions!$E$66</f>
        <v>25.3432843</v>
      </c>
      <c r="L174" s="52" t="n">
        <f aca="false">SUM(D174:K174)</f>
        <v>85.3562380285714</v>
      </c>
    </row>
    <row r="175" customFormat="false" ht="15" hidden="false" customHeight="false" outlineLevel="0" collapsed="false">
      <c r="A175" s="47" t="n">
        <v>63</v>
      </c>
      <c r="B175" s="21" t="s">
        <v>441</v>
      </c>
      <c r="C175" s="11" t="s">
        <v>338</v>
      </c>
      <c r="D175" s="27" t="n">
        <f aca="false">D139+D158+D167*Assumptions!$E$66</f>
        <v>0.897059146428572</v>
      </c>
      <c r="E175" s="27" t="n">
        <f aca="false">E139+E158+E167*Assumptions!$E$66</f>
        <v>2.43782498928571</v>
      </c>
      <c r="F175" s="27" t="n">
        <f aca="false">F139+F158+F167*Assumptions!$E$66</f>
        <v>4.68294507857143</v>
      </c>
      <c r="G175" s="27" t="n">
        <f aca="false">G139+G158+G167*Assumptions!$E$66</f>
        <v>7.30020982142857</v>
      </c>
      <c r="H175" s="27" t="n">
        <f aca="false">H139+H158+H167*Assumptions!$E$66</f>
        <v>10.3108381964286</v>
      </c>
      <c r="I175" s="27" t="n">
        <f aca="false">I139+I158+I167*Assumptions!$E$66</f>
        <v>12.6721965</v>
      </c>
      <c r="J175" s="27" t="n">
        <f aca="false">J139+J158+J167*Assumptions!$E$66</f>
        <v>15.1568561607143</v>
      </c>
      <c r="K175" s="27" t="n">
        <f aca="false">K139+K158+K167*Assumptions!$E$66</f>
        <v>17.3193886071429</v>
      </c>
      <c r="L175" s="52" t="n">
        <f aca="false">SUM(D175:K175)</f>
        <v>70.7773185</v>
      </c>
    </row>
    <row r="176" customFormat="false" ht="15" hidden="false" customHeight="false" outlineLevel="0" collapsed="false">
      <c r="A176" s="47" t="n">
        <v>64</v>
      </c>
      <c r="B176" s="21" t="s">
        <v>450</v>
      </c>
      <c r="C176" s="11" t="s">
        <v>338</v>
      </c>
      <c r="D176" s="27" t="n">
        <f aca="false">D157+D166*Assumptions!$E$66</f>
        <v>0.887989285714286</v>
      </c>
      <c r="E176" s="27" t="n">
        <f aca="false">E157+E166*Assumptions!$E$66</f>
        <v>2.76303214285714</v>
      </c>
      <c r="F176" s="27" t="n">
        <f aca="false">F157+F166*Assumptions!$E$66</f>
        <v>5.72419285714286</v>
      </c>
      <c r="G176" s="27" t="n">
        <f aca="false">G157+G166*Assumptions!$E$66</f>
        <v>8.88348214285714</v>
      </c>
      <c r="H176" s="27" t="n">
        <f aca="false">H157+H166*Assumptions!$E$66</f>
        <v>12.2409</v>
      </c>
      <c r="I176" s="27" t="n">
        <f aca="false">I157+I166*Assumptions!$E$66</f>
        <v>14.74335</v>
      </c>
      <c r="J176" s="27" t="n">
        <f aca="false">J157+J166*Assumptions!$E$66</f>
        <v>17.3778857142857</v>
      </c>
      <c r="K176" s="27" t="n">
        <f aca="false">K157+K166*Assumptions!$E$66</f>
        <v>19.0253678571429</v>
      </c>
      <c r="L176" s="52" t="n">
        <f aca="false">SUM(D176:K176)</f>
        <v>81.6462</v>
      </c>
    </row>
    <row r="177" customFormat="false" ht="15" hidden="false" customHeight="false" outlineLevel="0" collapsed="false">
      <c r="A177" s="47" t="n">
        <v>65</v>
      </c>
      <c r="B177" s="19" t="s">
        <v>451</v>
      </c>
      <c r="C177" s="11" t="s">
        <v>338</v>
      </c>
      <c r="D177" s="52" t="n">
        <f aca="false">D174-D175+D176</f>
        <v>0.558608877857143</v>
      </c>
      <c r="E177" s="52" t="n">
        <f aca="false">E174-E175+E176</f>
        <v>2.16409728071429</v>
      </c>
      <c r="F177" s="52" t="n">
        <f aca="false">F174-F175+F176</f>
        <v>4.99882659857143</v>
      </c>
      <c r="G177" s="52" t="n">
        <f aca="false">G174-G175+G176</f>
        <v>8.57529539285714</v>
      </c>
      <c r="H177" s="52" t="n">
        <f aca="false">H174-H175+H176</f>
        <v>12.9433903678571</v>
      </c>
      <c r="I177" s="52" t="n">
        <f aca="false">I174-I175+I176</f>
        <v>17.4905251285714</v>
      </c>
      <c r="J177" s="52" t="n">
        <f aca="false">J174-J175+J176</f>
        <v>22.4451123321429</v>
      </c>
      <c r="K177" s="52" t="n">
        <f aca="false">K174-K175+K176</f>
        <v>27.04926355</v>
      </c>
      <c r="L177" s="52" t="n">
        <f aca="false">SUM(D177:K177)</f>
        <v>96.2251195285714</v>
      </c>
    </row>
    <row r="178" customFormat="false" ht="15" hidden="false" customHeight="false" outlineLevel="0" collapsed="false">
      <c r="A178" s="47" t="n">
        <v>66</v>
      </c>
      <c r="B178" s="19" t="s">
        <v>452</v>
      </c>
      <c r="C178" s="11" t="s">
        <v>448</v>
      </c>
      <c r="D178" s="60" t="n">
        <f aca="false">IF(D174&gt;0,(D174-D175)/D174,0)</f>
        <v>-0.58022325917302</v>
      </c>
      <c r="E178" s="60" t="n">
        <f aca="false">IF(E174&gt;0,(E174-E175)/E174,0)</f>
        <v>-0.325704539549321</v>
      </c>
      <c r="F178" s="60" t="n">
        <f aca="false">IF(F174&gt;0,(F174-F175)/F174,0)</f>
        <v>-0.183285359954354</v>
      </c>
      <c r="G178" s="60" t="n">
        <f aca="false">IF(G174&gt;0,(G174-G175)/G174,0)</f>
        <v>-0.0440769069054337</v>
      </c>
      <c r="H178" s="60" t="n">
        <f aca="false">IF(H174&gt;0,(H174-H175)/H174,0)</f>
        <v>0.0637854726440464</v>
      </c>
      <c r="I178" s="60" t="n">
        <f aca="false">IF(I174&gt;0,(I174-I175)/I174,0)</f>
        <v>0.178163883376482</v>
      </c>
      <c r="J178" s="60" t="n">
        <f aca="false">IF(J174&gt;0,(J174-J175)/J174,0)</f>
        <v>0.250554088080878</v>
      </c>
      <c r="K178" s="60" t="n">
        <f aca="false">IF(K174&gt;0,(K174-K175)/K174,0)</f>
        <v>0.316608360537436</v>
      </c>
      <c r="L178" s="60" t="n">
        <f aca="false">IF(L174&gt;0,(L174-L175)/L174,0)</f>
        <v>0.17080086781345</v>
      </c>
    </row>
    <row r="179" customFormat="false" ht="15" hidden="false" customHeight="false" outlineLevel="0" collapsed="false">
      <c r="A179" s="47" t="n">
        <v>67</v>
      </c>
      <c r="B179" s="21" t="s">
        <v>453</v>
      </c>
      <c r="C179" s="11" t="s">
        <v>448</v>
      </c>
      <c r="D179" s="26" t="n">
        <f aca="false">IF((D174+D176)&gt;0,D177/(D174+D176),0)</f>
        <v>0.383747440032729</v>
      </c>
      <c r="E179" s="26" t="n">
        <f aca="false">IF((E174+E176)&gt;0,E177/(E174+E176),0)</f>
        <v>0.470259416336097</v>
      </c>
      <c r="F179" s="26" t="n">
        <f aca="false">IF((F174+F176)&gt;0,F177/(F174+F176),0)</f>
        <v>0.516313208498076</v>
      </c>
      <c r="G179" s="26" t="n">
        <f aca="false">IF((G174+G176)&gt;0,G177/(G174+G176),0)</f>
        <v>0.540158897440353</v>
      </c>
      <c r="H179" s="26" t="n">
        <f aca="false">IF((H174+H176)&gt;0,H177/(H174+H176),0)</f>
        <v>0.556603730460268</v>
      </c>
      <c r="I179" s="26" t="n">
        <f aca="false">IF((I174+I176)&gt;0,I177/(I174+I176),0)</f>
        <v>0.579872245746009</v>
      </c>
      <c r="J179" s="26" t="n">
        <f aca="false">IF((J174+J176)&gt;0,J177/(J174+J176),0)</f>
        <v>0.596913226402137</v>
      </c>
      <c r="K179" s="26" t="n">
        <f aca="false">IF((K174+K176)&gt;0,K177/(K174+K176),0)</f>
        <v>0.609648078877811</v>
      </c>
      <c r="L179" s="60" t="n">
        <f aca="false">IF((L174+L176)&gt;0,L177/(L174+L176),0)</f>
        <v>0.57618990874917</v>
      </c>
    </row>
    <row r="180" customFormat="false" ht="15" hidden="false" customHeight="false" outlineLevel="0" collapsed="false">
      <c r="A180" s="47" t="n">
        <v>68</v>
      </c>
      <c r="B180" s="21" t="s">
        <v>454</v>
      </c>
      <c r="C180" s="11" t="s">
        <v>448</v>
      </c>
      <c r="D180" s="26" t="n">
        <f aca="false">IF(D133&gt;0,D140/D133,0)</f>
        <v>-0.104204579308761</v>
      </c>
      <c r="E180" s="26" t="n">
        <f aca="false">IF(E133&gt;0,E140/E133,0)</f>
        <v>0.126506851869792</v>
      </c>
      <c r="F180" s="26" t="n">
        <f aca="false">IF(F133&gt;0,F140/F133,0)</f>
        <v>0.242307999398986</v>
      </c>
      <c r="G180" s="26" t="n">
        <f aca="false">IF(G133&gt;0,G140/G133,0)</f>
        <v>0.312109269333041</v>
      </c>
      <c r="H180" s="26" t="n">
        <f aca="false">IF(H133&gt;0,H140/H133,0)</f>
        <v>0.358884656160659</v>
      </c>
      <c r="I180" s="26" t="n">
        <f aca="false">IF(I133&gt;0,I140/I133,0)</f>
        <v>0.417317323044004</v>
      </c>
      <c r="J180" s="26" t="n">
        <f aca="false">IF(J133&gt;0,J140/J133,0)</f>
        <v>0.452632949627628</v>
      </c>
      <c r="K180" s="26" t="n">
        <f aca="false">IF(K133&gt;0,K140/K133,0)</f>
        <v>0.4763711702101</v>
      </c>
      <c r="L180" s="60" t="n">
        <f aca="false">IF(L133&gt;0,L140/L133,0)</f>
        <v>0.406492212164295</v>
      </c>
    </row>
    <row r="181" customFormat="false" ht="15" hidden="false" customHeight="false" outlineLevel="0" collapsed="false">
      <c r="A181" s="47" t="n">
        <v>69</v>
      </c>
      <c r="B181" s="21" t="s">
        <v>455</v>
      </c>
      <c r="C181" s="11" t="s">
        <v>456</v>
      </c>
      <c r="D181" s="38" t="n">
        <f aca="false">IF(D158&gt;0,(D157+D154)/D158,0)</f>
        <v>2.7257</v>
      </c>
      <c r="E181" s="38" t="n">
        <f aca="false">IF(E158&gt;0,(E157+E154)/E158,0)</f>
        <v>2.79164762275916</v>
      </c>
      <c r="F181" s="38" t="n">
        <f aca="false">IF(F158&gt;0,(F157+F154)/F158,0)</f>
        <v>2.85658126410835</v>
      </c>
      <c r="G181" s="38" t="n">
        <f aca="false">IF(G158&gt;0,(G157+G154)/G158,0)</f>
        <v>2.94225854545455</v>
      </c>
      <c r="H181" s="38" t="n">
        <f aca="false">IF(H158&gt;0,(H157+H154)/H158,0)</f>
        <v>3.03177916959887</v>
      </c>
      <c r="I181" s="38" t="n">
        <f aca="false">IF(I158&gt;0,(I157+I154)/I158,0)</f>
        <v>3.15019763365469</v>
      </c>
      <c r="J181" s="38" t="n">
        <f aca="false">IF(J158&gt;0,(J157+J154)/J158,0)</f>
        <v>3.25993372438863</v>
      </c>
      <c r="K181" s="38" t="n">
        <f aca="false">IF(K158&gt;0,(K157+K154)/K158,0)</f>
        <v>3.40110322227672</v>
      </c>
      <c r="L181" s="55" t="n">
        <f aca="false">IF(L158&gt;0,(L157+L154)/L158,0)</f>
        <v>3.15430596117324</v>
      </c>
    </row>
    <row r="182" customFormat="false" ht="15" hidden="false" customHeight="false" outlineLevel="0" collapsed="false">
      <c r="A182" s="47" t="n">
        <v>70</v>
      </c>
      <c r="B182" s="21" t="s">
        <v>457</v>
      </c>
      <c r="C182" s="11" t="s">
        <v>448</v>
      </c>
      <c r="D182" s="26" t="n">
        <f aca="false">IF(D170&gt;0,D116/D170,0)</f>
        <v>0.749744984699082</v>
      </c>
      <c r="E182" s="26" t="n">
        <f aca="false">IF(E170&gt;0,E116/E170,0)</f>
        <v>0.707968266973443</v>
      </c>
      <c r="F182" s="26" t="n">
        <f aca="false">IF(F170&gt;0,F116/F170,0)</f>
        <v>0.671146173364398</v>
      </c>
      <c r="G182" s="26" t="n">
        <f aca="false">IF(G170&gt;0,G116/G170,0)</f>
        <v>0.650461316659211</v>
      </c>
      <c r="H182" s="26" t="n">
        <f aca="false">IF(H170&gt;0,H116/H170,0)</f>
        <v>0.637766686417258</v>
      </c>
      <c r="I182" s="26" t="n">
        <f aca="false">IF(I170&gt;0,I116/I170,0)</f>
        <v>0.624474413949836</v>
      </c>
      <c r="J182" s="26" t="n">
        <f aca="false">IF(J170&gt;0,J116/J170,0)</f>
        <v>0.610742070201182</v>
      </c>
      <c r="K182" s="26" t="n">
        <f aca="false">IF(K170&gt;0,K116/K170,0)</f>
        <v>0.600678822575068</v>
      </c>
      <c r="L182" s="60" t="n">
        <f aca="false">IF(L170&gt;0,L116/L170,0)</f>
        <v>0.622574546436786</v>
      </c>
    </row>
    <row r="183" customFormat="false" ht="15" hidden="false" customHeight="false" outlineLevel="0" collapsed="false">
      <c r="A183" s="47" t="n">
        <v>71</v>
      </c>
      <c r="B183" s="21" t="s">
        <v>458</v>
      </c>
      <c r="C183" s="11" t="s">
        <v>39</v>
      </c>
      <c r="D183" s="27" t="n">
        <f aca="false">IF(D108&gt;0,D177*100/D108/3,0)</f>
        <v>0.1053695</v>
      </c>
      <c r="E183" s="27" t="n">
        <f aca="false">IF(E108&gt;0,E177*100/E108/3,0)</f>
        <v>0.393574459989608</v>
      </c>
      <c r="F183" s="27" t="n">
        <f aca="false">IF(F108&gt;0,F177*100/F108/3,0)</f>
        <v>0.877647007524454</v>
      </c>
      <c r="G183" s="27" t="n">
        <f aca="false">IF(G108&gt;0,G177*100/G108/3,0)</f>
        <v>1.45520164242424</v>
      </c>
      <c r="H183" s="27" t="n">
        <f aca="false">IF(H108&gt;0,H177*100/H108/3,0)</f>
        <v>2.12535145613418</v>
      </c>
      <c r="I183" s="27" t="n">
        <f aca="false">IF(I108&gt;0,I177*100/I108/3,0)</f>
        <v>2.78195128152693</v>
      </c>
      <c r="J183" s="27" t="n">
        <f aca="false">IF(J108&gt;0,J177*100/J108/3,0)</f>
        <v>3.46146257600793</v>
      </c>
      <c r="K183" s="27" t="n">
        <f aca="false">IF(K108&gt;0,K177*100/K108/3,0)</f>
        <v>4.04842516249733</v>
      </c>
      <c r="L183" s="49" t="n">
        <f aca="false">K183</f>
        <v>4.04842516249733</v>
      </c>
    </row>
    <row r="184" customFormat="false" ht="15" hidden="false" customHeight="false" outlineLevel="0" collapsed="false">
      <c r="A184" s="47" t="n">
        <v>72</v>
      </c>
      <c r="B184" s="21" t="s">
        <v>459</v>
      </c>
      <c r="C184" s="11" t="s">
        <v>448</v>
      </c>
      <c r="D184" s="26" t="n">
        <f aca="false">D177/Baseline!$F$29</f>
        <v>0.00275176787121745</v>
      </c>
      <c r="E184" s="26" t="n">
        <f aca="false">E177/Baseline!$F$29</f>
        <v>0.0106605777375088</v>
      </c>
      <c r="F184" s="26" t="n">
        <f aca="false">F177/Baseline!$F$29</f>
        <v>0.0246247615693174</v>
      </c>
      <c r="G184" s="26" t="n">
        <f aca="false">G177/Baseline!$F$29</f>
        <v>0.0422428344475721</v>
      </c>
      <c r="H184" s="26" t="n">
        <f aca="false">H177/Baseline!$F$29</f>
        <v>0.0637605436840253</v>
      </c>
      <c r="I184" s="26" t="n">
        <f aca="false">I177/Baseline!$F$29</f>
        <v>0.0861602223082337</v>
      </c>
      <c r="J184" s="26" t="n">
        <f aca="false">J177/Baseline!$F$29</f>
        <v>0.110567055823364</v>
      </c>
      <c r="K184" s="26" t="n">
        <f aca="false">K177/Baseline!$F$29</f>
        <v>0.133247603694581</v>
      </c>
      <c r="L184" s="51" t="n">
        <f aca="false">K184</f>
        <v>0.133247603694581</v>
      </c>
    </row>
    <row r="185" customFormat="false" ht="15" hidden="false" customHeight="false" outlineLevel="0" collapsed="false">
      <c r="A185" s="47" t="n">
        <v>73</v>
      </c>
      <c r="B185" s="21" t="s">
        <v>460</v>
      </c>
      <c r="C185" s="11" t="s">
        <v>448</v>
      </c>
      <c r="D185" s="58" t="n">
        <f aca="false">D177/Baseline!$F$27</f>
        <v>0.000413784353968254</v>
      </c>
      <c r="E185" s="58" t="n">
        <f aca="false">E177/Baseline!$F$27</f>
        <v>0.00160303502275132</v>
      </c>
      <c r="F185" s="58" t="n">
        <f aca="false">F177/Baseline!$F$27</f>
        <v>0.00370283451746032</v>
      </c>
      <c r="G185" s="58" t="n">
        <f aca="false">G177/Baseline!$F$27</f>
        <v>0.00635207066137566</v>
      </c>
      <c r="H185" s="58" t="n">
        <f aca="false">H177/Baseline!$F$27</f>
        <v>0.00958769656878307</v>
      </c>
      <c r="I185" s="58" t="n">
        <f aca="false">I177/Baseline!$F$27</f>
        <v>0.0129559445396825</v>
      </c>
      <c r="J185" s="58" t="n">
        <f aca="false">J177/Baseline!$F$27</f>
        <v>0.0166260091349206</v>
      </c>
      <c r="K185" s="58" t="n">
        <f aca="false">K177/Baseline!$F$27</f>
        <v>0.0200364915185185</v>
      </c>
      <c r="L185" s="61" t="n">
        <f aca="false">K185</f>
        <v>0.0200364915185185</v>
      </c>
    </row>
    <row r="186" customFormat="false" ht="15" hidden="false" customHeight="false" outlineLevel="0" collapsed="false">
      <c r="A186" s="47" t="n">
        <v>74</v>
      </c>
      <c r="B186" s="21" t="s">
        <v>461</v>
      </c>
      <c r="C186" s="11" t="s">
        <v>448</v>
      </c>
      <c r="D186" s="58" t="n">
        <f aca="false">(D128+D129)/Baseline!$F$31</f>
        <v>0.000383441777816778</v>
      </c>
      <c r="E186" s="58" t="n">
        <f aca="false">(E128+E129)/Baseline!$F$31</f>
        <v>0.00119310218497719</v>
      </c>
      <c r="F186" s="58" t="n">
        <f aca="false">(F128+F129)/Baseline!$F$31</f>
        <v>0.00247175807300807</v>
      </c>
      <c r="G186" s="58" t="n">
        <f aca="false">(G128+G129)/Baseline!$F$31</f>
        <v>0.0042621862934363</v>
      </c>
      <c r="H186" s="58" t="n">
        <f aca="false">(H128+H129)/Baseline!$F$31</f>
        <v>0.0066071636977887</v>
      </c>
      <c r="I186" s="58" t="n">
        <f aca="false">(I128+I129)/Baseline!$F$31</f>
        <v>0.00909473060723061</v>
      </c>
      <c r="J186" s="58" t="n">
        <f aca="false">(J128+J129)/Baseline!$F$31</f>
        <v>0.011724887021762</v>
      </c>
      <c r="K186" s="58" t="n">
        <f aca="false">(K128+K129)/Baseline!$F$31</f>
        <v>0.0144976329413829</v>
      </c>
      <c r="L186" s="61" t="n">
        <f aca="false">K186</f>
        <v>0.0144976329413829</v>
      </c>
    </row>
    <row r="187" customFormat="false" ht="15" hidden="false" customHeight="false" outlineLevel="0" collapsed="false">
      <c r="A187" s="45"/>
      <c r="B187" s="46" t="s">
        <v>462</v>
      </c>
      <c r="C187" s="45"/>
      <c r="D187" s="45"/>
      <c r="E187" s="45"/>
      <c r="F187" s="45"/>
      <c r="G187" s="45"/>
      <c r="H187" s="45"/>
      <c r="I187" s="45"/>
      <c r="J187" s="45"/>
      <c r="K187" s="45"/>
      <c r="L187" s="45"/>
    </row>
    <row r="188" customFormat="false" ht="15" hidden="false" customHeight="false" outlineLevel="0" collapsed="false">
      <c r="A188" s="47" t="n">
        <v>75</v>
      </c>
      <c r="B188" s="21" t="s">
        <v>463</v>
      </c>
      <c r="C188" s="11" t="s">
        <v>39</v>
      </c>
      <c r="D188" s="40" t="n">
        <f aca="false">Assumptions!$E$38</f>
        <v>80000</v>
      </c>
      <c r="E188" s="40" t="n">
        <f aca="false">Assumptions!$E$38</f>
        <v>80000</v>
      </c>
      <c r="F188" s="40" t="n">
        <f aca="false">Assumptions!$E$38</f>
        <v>80000</v>
      </c>
      <c r="G188" s="40" t="n">
        <f aca="false">Assumptions!$E$38</f>
        <v>80000</v>
      </c>
      <c r="H188" s="40" t="n">
        <f aca="false">Assumptions!$E$38</f>
        <v>80000</v>
      </c>
      <c r="I188" s="40" t="n">
        <f aca="false">Assumptions!$E$38</f>
        <v>80000</v>
      </c>
      <c r="J188" s="40" t="n">
        <f aca="false">Assumptions!$E$38</f>
        <v>80000</v>
      </c>
      <c r="K188" s="40" t="n">
        <f aca="false">Assumptions!$E$38</f>
        <v>80000</v>
      </c>
      <c r="L188" s="62" t="n">
        <f aca="false">K188</f>
        <v>80000</v>
      </c>
    </row>
    <row r="189" customFormat="false" ht="15" hidden="false" customHeight="false" outlineLevel="0" collapsed="false">
      <c r="A189" s="47" t="n">
        <v>76</v>
      </c>
      <c r="B189" s="21" t="s">
        <v>464</v>
      </c>
      <c r="C189" s="11" t="s">
        <v>39</v>
      </c>
      <c r="D189" s="40" t="n">
        <f aca="false">IF(D111&gt;0,(D116+D117)*100/D111/3,0)</f>
        <v>38350</v>
      </c>
      <c r="E189" s="40" t="n">
        <f aca="false">IF(E111&gt;0,(E116+E117)*100/E111/3,0)</f>
        <v>38350</v>
      </c>
      <c r="F189" s="40" t="n">
        <f aca="false">IF(F111&gt;0,(F116+F117)*100/F111/3,0)</f>
        <v>38350</v>
      </c>
      <c r="G189" s="40" t="n">
        <f aca="false">IF(G111&gt;0,(G116+G117)*100/G111/3,0)</f>
        <v>38350</v>
      </c>
      <c r="H189" s="40" t="n">
        <f aca="false">IF(H111&gt;0,(H116+H117)*100/H111/3,0)</f>
        <v>38350</v>
      </c>
      <c r="I189" s="40" t="n">
        <f aca="false">IF(I111&gt;0,(I116+I117)*100/I111/3,0)</f>
        <v>38350</v>
      </c>
      <c r="J189" s="40" t="n">
        <f aca="false">IF(J111&gt;0,(J116+J117)*100/J111/3,0)</f>
        <v>38350</v>
      </c>
      <c r="K189" s="40" t="n">
        <f aca="false">IF(K111&gt;0,(K116+K117)*100/K111/3,0)</f>
        <v>38350</v>
      </c>
      <c r="L189" s="62" t="n">
        <f aca="false">K189</f>
        <v>38350</v>
      </c>
    </row>
    <row r="190" customFormat="false" ht="15" hidden="false" customHeight="false" outlineLevel="0" collapsed="false">
      <c r="A190" s="47" t="n">
        <v>77</v>
      </c>
      <c r="B190" s="19" t="s">
        <v>465</v>
      </c>
      <c r="C190" s="11" t="s">
        <v>448</v>
      </c>
      <c r="D190" s="60" t="n">
        <f aca="false">IF(D188&gt;0,D189/D188,0)</f>
        <v>0.479375</v>
      </c>
      <c r="E190" s="60" t="n">
        <f aca="false">IF(E188&gt;0,E189/E188,0)</f>
        <v>0.479375</v>
      </c>
      <c r="F190" s="60" t="n">
        <f aca="false">IF(F188&gt;0,F189/F188,0)</f>
        <v>0.479375</v>
      </c>
      <c r="G190" s="60" t="n">
        <f aca="false">IF(G188&gt;0,G189/G188,0)</f>
        <v>0.479375</v>
      </c>
      <c r="H190" s="60" t="n">
        <f aca="false">IF(H188&gt;0,H189/H188,0)</f>
        <v>0.479375</v>
      </c>
      <c r="I190" s="60" t="n">
        <f aca="false">IF(I188&gt;0,I189/I188,0)</f>
        <v>0.479375</v>
      </c>
      <c r="J190" s="60" t="n">
        <f aca="false">IF(J188&gt;0,J189/J188,0)</f>
        <v>0.479375</v>
      </c>
      <c r="K190" s="60" t="n">
        <f aca="false">IF(K188&gt;0,K189/K188,0)</f>
        <v>0.479375</v>
      </c>
      <c r="L190" s="63" t="n">
        <f aca="false">K190</f>
        <v>0.479375</v>
      </c>
    </row>
    <row r="191" customFormat="false" ht="15" hidden="false" customHeight="false" outlineLevel="0" collapsed="false">
      <c r="A191" s="47" t="n">
        <v>78</v>
      </c>
      <c r="B191" s="21" t="s">
        <v>466</v>
      </c>
      <c r="C191" s="11" t="s">
        <v>39</v>
      </c>
      <c r="D191" s="38" t="n">
        <f aca="false">IF(D111&gt;0,(D133-(D139-D135))*100/D111/3,0)</f>
        <v>71.236875</v>
      </c>
      <c r="E191" s="38" t="n">
        <f aca="false">IF(E111&gt;0,(E133-(E139-E135))*100/E111/3,0)</f>
        <v>71.236875</v>
      </c>
      <c r="F191" s="38" t="n">
        <f aca="false">IF(F111&gt;0,(F133-(F139-F135))*100/F111/3,0)</f>
        <v>71.236875</v>
      </c>
      <c r="G191" s="38" t="n">
        <f aca="false">IF(G111&gt;0,(G133-(G139-G135))*100/G111/3,0)</f>
        <v>71.236875</v>
      </c>
      <c r="H191" s="38" t="n">
        <f aca="false">IF(H111&gt;0,(H133-(H139-H135))*100/H111/3,0)</f>
        <v>71.236875</v>
      </c>
      <c r="I191" s="38" t="n">
        <f aca="false">IF(I111&gt;0,(I133-(I139-I135))*100/I111/3,0)</f>
        <v>71.236875</v>
      </c>
      <c r="J191" s="38" t="n">
        <f aca="false">IF(J111&gt;0,(J133-(J139-J135))*100/J111/3,0)</f>
        <v>71.236875</v>
      </c>
      <c r="K191" s="38" t="n">
        <f aca="false">IF(K111&gt;0,(K133-(K139-K135))*100/K111/3,0)</f>
        <v>71.236875</v>
      </c>
      <c r="L191" s="64" t="n">
        <f aca="false">K191</f>
        <v>71.236875</v>
      </c>
    </row>
    <row r="192" customFormat="false" ht="15" hidden="false" customHeight="false" outlineLevel="0" collapsed="false">
      <c r="A192" s="47" t="n">
        <v>79</v>
      </c>
      <c r="B192" s="21" t="s">
        <v>467</v>
      </c>
      <c r="C192" s="11" t="s">
        <v>468</v>
      </c>
      <c r="D192" s="38" t="n">
        <f aca="false">IF(D191&gt;0,Assumptions!$E$43/D191,"never")</f>
        <v>3.50941840163539</v>
      </c>
      <c r="E192" s="38" t="n">
        <f aca="false">IF(E191&gt;0,Assumptions!$E$43/E191,"never")</f>
        <v>3.50941840163539</v>
      </c>
      <c r="F192" s="38" t="n">
        <f aca="false">IF(F191&gt;0,Assumptions!$E$43/F191,"never")</f>
        <v>3.50941840163539</v>
      </c>
      <c r="G192" s="38" t="n">
        <f aca="false">IF(G191&gt;0,Assumptions!$E$43/G191,"never")</f>
        <v>3.50941840163539</v>
      </c>
      <c r="H192" s="38" t="n">
        <f aca="false">IF(H191&gt;0,Assumptions!$E$43/H191,"never")</f>
        <v>3.50941840163539</v>
      </c>
      <c r="I192" s="38" t="n">
        <f aca="false">IF(I191&gt;0,Assumptions!$E$43/I191,"never")</f>
        <v>3.50941840163539</v>
      </c>
      <c r="J192" s="38" t="n">
        <f aca="false">IF(J191&gt;0,Assumptions!$E$43/J191,"never")</f>
        <v>3.50941840163539</v>
      </c>
      <c r="K192" s="38" t="n">
        <f aca="false">IF(K191&gt;0,Assumptions!$E$43/K191,"never")</f>
        <v>3.50941840163539</v>
      </c>
      <c r="L192" s="64" t="n">
        <f aca="false">K192</f>
        <v>3.50941840163539</v>
      </c>
    </row>
    <row r="193" customFormat="false" ht="15" hidden="false" customHeight="false" outlineLevel="0" collapsed="false">
      <c r="A193" s="47" t="n">
        <v>80</v>
      </c>
      <c r="B193" s="21" t="s">
        <v>469</v>
      </c>
      <c r="C193" s="11" t="s">
        <v>470</v>
      </c>
      <c r="D193" s="38" t="n">
        <f aca="false">IF(D144&gt;0,D159*100/D144*4,0)</f>
        <v>27.6112</v>
      </c>
      <c r="E193" s="38" t="n">
        <f aca="false">IF(E144&gt;0,E159*100/E144*4,0)</f>
        <v>28.6663619641465</v>
      </c>
      <c r="F193" s="38" t="n">
        <f aca="false">IF(F144&gt;0,F159*100/F144*4,0)</f>
        <v>29.7053002257336</v>
      </c>
      <c r="G193" s="38" t="n">
        <f aca="false">IF(G144&gt;0,G159*100/G144*4,0)</f>
        <v>31.0761367272727</v>
      </c>
      <c r="H193" s="38" t="n">
        <f aca="false">IF(H144&gt;0,H159*100/H144*4,0)</f>
        <v>32.508466713582</v>
      </c>
      <c r="I193" s="38" t="n">
        <f aca="false">IF(I144&gt;0,I159*100/I144*4,0)</f>
        <v>34.403162138475</v>
      </c>
      <c r="J193" s="38" t="n">
        <f aca="false">IF(J144&gt;0,J159*100/J144*4,0)</f>
        <v>36.1589395902181</v>
      </c>
      <c r="K193" s="38" t="n">
        <f aca="false">IF(K144&gt;0,K159*100/K144*4,0)</f>
        <v>38.4176515564276</v>
      </c>
      <c r="L193" s="64" t="n">
        <f aca="false">K193</f>
        <v>38.4176515564276</v>
      </c>
    </row>
    <row r="194" customFormat="false" ht="15" hidden="false" customHeight="false" outlineLevel="0" collapsed="false">
      <c r="A194" s="45"/>
      <c r="B194" s="46" t="s">
        <v>471</v>
      </c>
      <c r="C194" s="45"/>
      <c r="D194" s="45"/>
      <c r="E194" s="45"/>
      <c r="F194" s="45"/>
      <c r="G194" s="45"/>
      <c r="H194" s="45"/>
      <c r="I194" s="45"/>
      <c r="J194" s="45"/>
      <c r="K194" s="45"/>
      <c r="L194" s="45"/>
    </row>
    <row r="195" customFormat="false" ht="15" hidden="false" customHeight="false" outlineLevel="0" collapsed="false">
      <c r="A195" s="47" t="n">
        <v>81</v>
      </c>
      <c r="B195" s="21" t="s">
        <v>472</v>
      </c>
      <c r="C195" s="11" t="s">
        <v>39</v>
      </c>
      <c r="D195" s="40" t="n">
        <f aca="false">Assumptions!$E$12/(1-Assumptions!$E$47)</f>
        <v>274725.274725275</v>
      </c>
      <c r="E195" s="40" t="n">
        <f aca="false">Assumptions!$E$12/(1-Assumptions!$E$47)</f>
        <v>274725.274725275</v>
      </c>
      <c r="F195" s="40" t="n">
        <f aca="false">Assumptions!$E$12/(1-Assumptions!$E$47)</f>
        <v>274725.274725275</v>
      </c>
      <c r="G195" s="40" t="n">
        <f aca="false">Assumptions!$E$12/(1-Assumptions!$E$47)</f>
        <v>274725.274725275</v>
      </c>
      <c r="H195" s="40" t="n">
        <f aca="false">Assumptions!$E$12/(1-Assumptions!$E$47)</f>
        <v>274725.274725275</v>
      </c>
      <c r="I195" s="40" t="n">
        <f aca="false">Assumptions!$E$12/(1-Assumptions!$E$47)</f>
        <v>274725.274725275</v>
      </c>
      <c r="J195" s="40" t="n">
        <f aca="false">Assumptions!$E$12/(1-Assumptions!$E$47)</f>
        <v>274725.274725275</v>
      </c>
      <c r="K195" s="40" t="n">
        <f aca="false">Assumptions!$E$12/(1-Assumptions!$E$47)</f>
        <v>274725.274725275</v>
      </c>
      <c r="L195" s="62" t="n">
        <f aca="false">K195</f>
        <v>274725.274725275</v>
      </c>
    </row>
    <row r="196" customFormat="false" ht="15" hidden="false" customHeight="false" outlineLevel="0" collapsed="false">
      <c r="A196" s="47" t="n">
        <v>82</v>
      </c>
      <c r="B196" s="21" t="s">
        <v>473</v>
      </c>
      <c r="C196" s="11" t="s">
        <v>39</v>
      </c>
      <c r="D196" s="40" t="n">
        <f aca="false">D195*Assumptions!$E$39*Assumptions!$E$47</f>
        <v>494.505494505495</v>
      </c>
      <c r="E196" s="40" t="n">
        <f aca="false">E195*Assumptions!$E$39*Assumptions!$E$47</f>
        <v>494.505494505495</v>
      </c>
      <c r="F196" s="40" t="n">
        <f aca="false">F195*Assumptions!$E$39*Assumptions!$E$47</f>
        <v>494.505494505495</v>
      </c>
      <c r="G196" s="40" t="n">
        <f aca="false">G195*Assumptions!$E$39*Assumptions!$E$47</f>
        <v>494.505494505495</v>
      </c>
      <c r="H196" s="40" t="n">
        <f aca="false">H195*Assumptions!$E$39*Assumptions!$E$47</f>
        <v>494.505494505495</v>
      </c>
      <c r="I196" s="40" t="n">
        <f aca="false">I195*Assumptions!$E$39*Assumptions!$E$47</f>
        <v>494.505494505495</v>
      </c>
      <c r="J196" s="40" t="n">
        <f aca="false">J195*Assumptions!$E$39*Assumptions!$E$47</f>
        <v>494.505494505495</v>
      </c>
      <c r="K196" s="40" t="n">
        <f aca="false">K195*Assumptions!$E$39*Assumptions!$E$47</f>
        <v>494.505494505495</v>
      </c>
      <c r="L196" s="62" t="n">
        <f aca="false">K196</f>
        <v>494.505494505495</v>
      </c>
    </row>
    <row r="197" customFormat="false" ht="15" hidden="false" customHeight="false" outlineLevel="0" collapsed="false">
      <c r="A197" s="47" t="n">
        <v>83</v>
      </c>
      <c r="B197" s="21" t="s">
        <v>474</v>
      </c>
      <c r="C197" s="11" t="s">
        <v>39</v>
      </c>
      <c r="D197" s="40" t="n">
        <f aca="false">Assumptions!$E$12*Assumptions!$E$13*Assumptions!$E$17*Assumptions!$E$18*Assumptions!$E$48</f>
        <v>191.40625</v>
      </c>
      <c r="E197" s="40" t="n">
        <f aca="false">Assumptions!$E$12*Assumptions!$E$13*Assumptions!$E$17*Assumptions!$E$18*Assumptions!$E$48</f>
        <v>191.40625</v>
      </c>
      <c r="F197" s="40" t="n">
        <f aca="false">Assumptions!$E$12*Assumptions!$E$13*Assumptions!$E$17*Assumptions!$E$18*Assumptions!$E$48</f>
        <v>191.40625</v>
      </c>
      <c r="G197" s="40" t="n">
        <f aca="false">Assumptions!$E$12*Assumptions!$E$13*Assumptions!$E$17*Assumptions!$E$18*Assumptions!$E$48</f>
        <v>191.40625</v>
      </c>
      <c r="H197" s="40" t="n">
        <f aca="false">Assumptions!$E$12*Assumptions!$E$13*Assumptions!$E$17*Assumptions!$E$18*Assumptions!$E$48</f>
        <v>191.40625</v>
      </c>
      <c r="I197" s="40" t="n">
        <f aca="false">Assumptions!$E$12*Assumptions!$E$13*Assumptions!$E$17*Assumptions!$E$18*Assumptions!$E$48</f>
        <v>191.40625</v>
      </c>
      <c r="J197" s="40" t="n">
        <f aca="false">Assumptions!$E$12*Assumptions!$E$13*Assumptions!$E$17*Assumptions!$E$18*Assumptions!$E$48</f>
        <v>191.40625</v>
      </c>
      <c r="K197" s="40" t="n">
        <f aca="false">Assumptions!$E$12*Assumptions!$E$13*Assumptions!$E$17*Assumptions!$E$18*Assumptions!$E$48</f>
        <v>191.40625</v>
      </c>
      <c r="L197" s="62" t="n">
        <f aca="false">K197</f>
        <v>191.40625</v>
      </c>
    </row>
    <row r="198" customFormat="false" ht="15" hidden="false" customHeight="false" outlineLevel="0" collapsed="false">
      <c r="A198" s="47" t="n">
        <v>84</v>
      </c>
      <c r="B198" s="21" t="s">
        <v>475</v>
      </c>
      <c r="C198" s="11" t="s">
        <v>39</v>
      </c>
      <c r="D198" s="40" t="n">
        <f aca="false">Assumptions!$E$37</f>
        <v>99</v>
      </c>
      <c r="E198" s="40" t="n">
        <f aca="false">Assumptions!$E$37</f>
        <v>99</v>
      </c>
      <c r="F198" s="40" t="n">
        <f aca="false">Assumptions!$E$37</f>
        <v>99</v>
      </c>
      <c r="G198" s="40" t="n">
        <f aca="false">Assumptions!$E$37</f>
        <v>99</v>
      </c>
      <c r="H198" s="40" t="n">
        <f aca="false">Assumptions!$E$37</f>
        <v>99</v>
      </c>
      <c r="I198" s="40" t="n">
        <f aca="false">Assumptions!$E$37</f>
        <v>99</v>
      </c>
      <c r="J198" s="40" t="n">
        <f aca="false">Assumptions!$E$37</f>
        <v>99</v>
      </c>
      <c r="K198" s="40" t="n">
        <f aca="false">Assumptions!$E$37</f>
        <v>99</v>
      </c>
      <c r="L198" s="62" t="n">
        <f aca="false">K198</f>
        <v>99</v>
      </c>
    </row>
    <row r="199" customFormat="false" ht="15" hidden="false" customHeight="false" outlineLevel="0" collapsed="false">
      <c r="A199" s="47" t="n">
        <v>85</v>
      </c>
      <c r="B199" s="21" t="s">
        <v>476</v>
      </c>
      <c r="C199" s="11" t="s">
        <v>39</v>
      </c>
      <c r="D199" s="40" t="n">
        <f aca="false">D196-D197-D198</f>
        <v>204.099244505494</v>
      </c>
      <c r="E199" s="40" t="n">
        <f aca="false">E196-E197-E198</f>
        <v>204.099244505494</v>
      </c>
      <c r="F199" s="40" t="n">
        <f aca="false">F196-F197-F198</f>
        <v>204.099244505494</v>
      </c>
      <c r="G199" s="40" t="n">
        <f aca="false">G196-G197-G198</f>
        <v>204.099244505494</v>
      </c>
      <c r="H199" s="40" t="n">
        <f aca="false">H196-H197-H198</f>
        <v>204.099244505494</v>
      </c>
      <c r="I199" s="40" t="n">
        <f aca="false">I196-I197-I198</f>
        <v>204.099244505494</v>
      </c>
      <c r="J199" s="40" t="n">
        <f aca="false">J196-J197-J198</f>
        <v>204.099244505494</v>
      </c>
      <c r="K199" s="40" t="n">
        <f aca="false">K196-K197-K198</f>
        <v>204.099244505494</v>
      </c>
      <c r="L199" s="62" t="n">
        <f aca="false">K199</f>
        <v>204.099244505494</v>
      </c>
    </row>
    <row r="200" customFormat="false" ht="15" hidden="false" customHeight="false" outlineLevel="0" collapsed="false">
      <c r="A200" s="47" t="n">
        <v>86</v>
      </c>
      <c r="B200" s="21" t="s">
        <v>477</v>
      </c>
      <c r="C200" s="11" t="s">
        <v>39</v>
      </c>
      <c r="D200" s="40" t="n">
        <f aca="false">Assumptions!$E$12*Assumptions!$E$13*Assumptions!$E$49</f>
        <v>175</v>
      </c>
      <c r="E200" s="40" t="n">
        <f aca="false">Assumptions!$E$12*Assumptions!$E$13*Assumptions!$E$49</f>
        <v>175</v>
      </c>
      <c r="F200" s="40" t="n">
        <f aca="false">Assumptions!$E$12*Assumptions!$E$13*Assumptions!$E$49</f>
        <v>175</v>
      </c>
      <c r="G200" s="40" t="n">
        <f aca="false">Assumptions!$E$12*Assumptions!$E$13*Assumptions!$E$49</f>
        <v>175</v>
      </c>
      <c r="H200" s="40" t="n">
        <f aca="false">Assumptions!$E$12*Assumptions!$E$13*Assumptions!$E$49</f>
        <v>175</v>
      </c>
      <c r="I200" s="40" t="n">
        <f aca="false">Assumptions!$E$12*Assumptions!$E$13*Assumptions!$E$49</f>
        <v>175</v>
      </c>
      <c r="J200" s="40" t="n">
        <f aca="false">Assumptions!$E$12*Assumptions!$E$13*Assumptions!$E$49</f>
        <v>175</v>
      </c>
      <c r="K200" s="40" t="n">
        <f aca="false">Assumptions!$E$12*Assumptions!$E$13*Assumptions!$E$49</f>
        <v>175</v>
      </c>
      <c r="L200" s="62" t="n">
        <f aca="false">K200</f>
        <v>175</v>
      </c>
    </row>
    <row r="204" customFormat="false" ht="15" hidden="false" customHeight="false" outlineLevel="0" collapsed="false">
      <c r="A204" s="43" t="s">
        <v>479</v>
      </c>
      <c r="B204" s="44"/>
      <c r="C204" s="44"/>
      <c r="D204" s="44"/>
      <c r="E204" s="44"/>
      <c r="F204" s="44"/>
      <c r="G204" s="44"/>
      <c r="H204" s="44"/>
      <c r="I204" s="44"/>
      <c r="J204" s="44"/>
      <c r="K204" s="44"/>
      <c r="L204" s="44"/>
    </row>
    <row r="205" customFormat="false" ht="15" hidden="false" customHeight="false" outlineLevel="0" collapsed="false">
      <c r="A205" s="45"/>
      <c r="B205" s="46" t="s">
        <v>379</v>
      </c>
      <c r="C205" s="45"/>
      <c r="D205" s="45"/>
      <c r="E205" s="45"/>
      <c r="F205" s="45"/>
      <c r="G205" s="45"/>
      <c r="H205" s="45"/>
      <c r="I205" s="45"/>
      <c r="J205" s="45"/>
      <c r="K205" s="45"/>
      <c r="L205" s="45"/>
    </row>
    <row r="206" customFormat="false" ht="15" hidden="false" customHeight="false" outlineLevel="0" collapsed="false">
      <c r="A206" s="47" t="n">
        <v>1</v>
      </c>
      <c r="B206" s="21" t="s">
        <v>380</v>
      </c>
      <c r="C206" s="11" t="s">
        <v>381</v>
      </c>
      <c r="D206" s="48" t="n">
        <f aca="false">Baseline!H15*100</f>
        <v>176.714285714286</v>
      </c>
      <c r="E206" s="48" t="n">
        <f aca="false">Baseline!H16*100</f>
        <v>183.285714285714</v>
      </c>
      <c r="F206" s="48" t="n">
        <f aca="false">Baseline!H17*100</f>
        <v>189.857142857143</v>
      </c>
      <c r="G206" s="48" t="n">
        <f aca="false">Baseline!H18*100</f>
        <v>196.428571428571</v>
      </c>
      <c r="H206" s="48" t="n">
        <f aca="false">Baseline!H19*100</f>
        <v>203</v>
      </c>
      <c r="I206" s="48" t="n">
        <f aca="false">Baseline!H20*100</f>
        <v>209.571428571429</v>
      </c>
      <c r="J206" s="48" t="n">
        <f aca="false">Baseline!H21*100</f>
        <v>216.142857142857</v>
      </c>
      <c r="K206" s="48" t="n">
        <f aca="false">Baseline!H22*100</f>
        <v>222.714285714286</v>
      </c>
      <c r="L206" s="49" t="n">
        <f aca="false">K206</f>
        <v>222.714285714286</v>
      </c>
    </row>
    <row r="207" customFormat="false" ht="15" hidden="false" customHeight="false" outlineLevel="0" collapsed="false">
      <c r="A207" s="47" t="n">
        <v>2</v>
      </c>
      <c r="B207" s="21" t="s">
        <v>382</v>
      </c>
      <c r="C207" s="11" t="s">
        <v>381</v>
      </c>
      <c r="D207" s="27" t="n">
        <f aca="false">D206*Assumptions!$F$10</f>
        <v>88.3571428571429</v>
      </c>
      <c r="E207" s="27" t="n">
        <f aca="false">E206*Assumptions!$F$10</f>
        <v>91.6428571428572</v>
      </c>
      <c r="F207" s="27" t="n">
        <f aca="false">F206*Assumptions!$F$10</f>
        <v>94.9285714285714</v>
      </c>
      <c r="G207" s="27" t="n">
        <f aca="false">G206*Assumptions!$F$10</f>
        <v>98.2142857142857</v>
      </c>
      <c r="H207" s="27" t="n">
        <f aca="false">H206*Assumptions!$F$10</f>
        <v>101.5</v>
      </c>
      <c r="I207" s="27" t="n">
        <f aca="false">I206*Assumptions!$F$10</f>
        <v>104.785714285714</v>
      </c>
      <c r="J207" s="27" t="n">
        <f aca="false">J206*Assumptions!$F$10</f>
        <v>108.071428571429</v>
      </c>
      <c r="K207" s="27" t="n">
        <f aca="false">K206*Assumptions!$F$10</f>
        <v>111.357142857143</v>
      </c>
      <c r="L207" s="49" t="n">
        <f aca="false">K207</f>
        <v>111.357142857143</v>
      </c>
    </row>
    <row r="208" customFormat="false" ht="15" hidden="false" customHeight="false" outlineLevel="0" collapsed="false">
      <c r="A208" s="47" t="n">
        <v>3</v>
      </c>
      <c r="B208" s="21" t="s">
        <v>383</v>
      </c>
      <c r="C208" s="11" t="s">
        <v>256</v>
      </c>
      <c r="D208" s="50" t="n">
        <f aca="false">Assumptions!D$79</f>
        <v>0.02</v>
      </c>
      <c r="E208" s="50" t="n">
        <f aca="false">Assumptions!E$79</f>
        <v>0.06</v>
      </c>
      <c r="F208" s="50" t="n">
        <f aca="false">Assumptions!F$79</f>
        <v>0.12</v>
      </c>
      <c r="G208" s="50" t="n">
        <f aca="false">Assumptions!G$79</f>
        <v>0.2</v>
      </c>
      <c r="H208" s="50" t="n">
        <f aca="false">Assumptions!H$79</f>
        <v>0.3</v>
      </c>
      <c r="I208" s="50" t="n">
        <f aca="false">Assumptions!I$79</f>
        <v>0.4</v>
      </c>
      <c r="J208" s="50" t="n">
        <f aca="false">Assumptions!J$79</f>
        <v>0.5</v>
      </c>
      <c r="K208" s="50" t="n">
        <f aca="false">Assumptions!K$79</f>
        <v>0.6</v>
      </c>
      <c r="L208" s="51" t="n">
        <f aca="false">K208</f>
        <v>0.6</v>
      </c>
    </row>
    <row r="209" customFormat="false" ht="15" hidden="false" customHeight="false" outlineLevel="0" collapsed="false">
      <c r="A209" s="47" t="n">
        <v>4</v>
      </c>
      <c r="B209" s="19" t="s">
        <v>384</v>
      </c>
      <c r="C209" s="11" t="s">
        <v>381</v>
      </c>
      <c r="D209" s="52" t="n">
        <f aca="false">D207*D208*Assumptions!$F$11</f>
        <v>0.265071428571429</v>
      </c>
      <c r="E209" s="52" t="n">
        <f aca="false">E207*E208*Assumptions!$F$11</f>
        <v>0.824785714285714</v>
      </c>
      <c r="F209" s="52" t="n">
        <f aca="false">F207*F208*Assumptions!$F$11</f>
        <v>1.70871428571429</v>
      </c>
      <c r="G209" s="52" t="n">
        <f aca="false">G207*G208*Assumptions!$F$11</f>
        <v>2.94642857142857</v>
      </c>
      <c r="H209" s="52" t="n">
        <f aca="false">H207*H208*Assumptions!$F$11</f>
        <v>4.5675</v>
      </c>
      <c r="I209" s="52" t="n">
        <f aca="false">I207*I208*Assumptions!$F$11</f>
        <v>6.28714285714286</v>
      </c>
      <c r="J209" s="52" t="n">
        <f aca="false">J207*J208*Assumptions!$F$11</f>
        <v>8.10535714285714</v>
      </c>
      <c r="K209" s="52" t="n">
        <f aca="false">K207*K208*Assumptions!$F$11</f>
        <v>10.0221428571429</v>
      </c>
      <c r="L209" s="53" t="n">
        <f aca="false">K209</f>
        <v>10.0221428571429</v>
      </c>
    </row>
    <row r="210" customFormat="false" ht="15" hidden="false" customHeight="false" outlineLevel="0" collapsed="false">
      <c r="A210" s="47" t="n">
        <v>5</v>
      </c>
      <c r="B210" s="21" t="s">
        <v>385</v>
      </c>
      <c r="C210" s="11" t="s">
        <v>381</v>
      </c>
      <c r="D210" s="27" t="n">
        <f aca="false">MAX(0,D209-N(C209))</f>
        <v>0.265071428571429</v>
      </c>
      <c r="E210" s="27" t="n">
        <f aca="false">MAX(0,E209-N(D209))</f>
        <v>0.559714285714286</v>
      </c>
      <c r="F210" s="27" t="n">
        <f aca="false">MAX(0,F209-N(E209))</f>
        <v>0.883928571428571</v>
      </c>
      <c r="G210" s="27" t="n">
        <f aca="false">MAX(0,G209-N(F209))</f>
        <v>1.23771428571429</v>
      </c>
      <c r="H210" s="27" t="n">
        <f aca="false">MAX(0,H209-N(G209))</f>
        <v>1.62107142857143</v>
      </c>
      <c r="I210" s="27" t="n">
        <f aca="false">MAX(0,I209-N(H209))</f>
        <v>1.71964285714286</v>
      </c>
      <c r="J210" s="27" t="n">
        <f aca="false">MAX(0,J209-N(I209))</f>
        <v>1.81821428571429</v>
      </c>
      <c r="K210" s="27" t="n">
        <f aca="false">MAX(0,K209-N(J209))</f>
        <v>1.91678571428571</v>
      </c>
      <c r="L210" s="52" t="n">
        <f aca="false">SUM(D210:K210)</f>
        <v>10.0221428571429</v>
      </c>
    </row>
    <row r="211" customFormat="false" ht="15" hidden="false" customHeight="false" outlineLevel="0" collapsed="false">
      <c r="A211" s="47" t="n">
        <v>6</v>
      </c>
      <c r="B211" s="21" t="s">
        <v>386</v>
      </c>
      <c r="C211" s="11" t="s">
        <v>338</v>
      </c>
      <c r="D211" s="40" t="n">
        <f aca="false">D209*Assumptions!$F$12*3/100</f>
        <v>2783.25</v>
      </c>
      <c r="E211" s="40" t="n">
        <f aca="false">E209*Assumptions!$F$12*3/100</f>
        <v>8660.25</v>
      </c>
      <c r="F211" s="40" t="n">
        <f aca="false">F209*Assumptions!$F$12*3/100</f>
        <v>17941.5</v>
      </c>
      <c r="G211" s="40" t="n">
        <f aca="false">G209*Assumptions!$F$12*3/100</f>
        <v>30937.5</v>
      </c>
      <c r="H211" s="40" t="n">
        <f aca="false">H209*Assumptions!$F$12*3/100</f>
        <v>47958.75</v>
      </c>
      <c r="I211" s="40" t="n">
        <f aca="false">I209*Assumptions!$F$12*3/100</f>
        <v>66015</v>
      </c>
      <c r="J211" s="40" t="n">
        <f aca="false">J209*Assumptions!$F$12*3/100</f>
        <v>85106.25</v>
      </c>
      <c r="K211" s="40" t="n">
        <f aca="false">K209*Assumptions!$F$12*3/100</f>
        <v>105232.5</v>
      </c>
      <c r="L211" s="54" t="n">
        <f aca="false">SUM(D211:K211)</f>
        <v>364635</v>
      </c>
    </row>
    <row r="212" customFormat="false" ht="15" hidden="false" customHeight="false" outlineLevel="0" collapsed="false">
      <c r="A212" s="47" t="n">
        <v>7</v>
      </c>
      <c r="B212" s="21" t="s">
        <v>387</v>
      </c>
      <c r="C212" s="11" t="s">
        <v>338</v>
      </c>
      <c r="D212" s="40" t="n">
        <f aca="false">D211*Assumptions!$F$13</f>
        <v>1391.625</v>
      </c>
      <c r="E212" s="40" t="n">
        <f aca="false">E211*Assumptions!$F$13</f>
        <v>4330.125</v>
      </c>
      <c r="F212" s="40" t="n">
        <f aca="false">F211*Assumptions!$F$13</f>
        <v>8970.75</v>
      </c>
      <c r="G212" s="40" t="n">
        <f aca="false">G211*Assumptions!$F$13</f>
        <v>15468.75</v>
      </c>
      <c r="H212" s="40" t="n">
        <f aca="false">H211*Assumptions!$F$13</f>
        <v>23979.375</v>
      </c>
      <c r="I212" s="40" t="n">
        <f aca="false">I211*Assumptions!$F$13</f>
        <v>33007.5</v>
      </c>
      <c r="J212" s="40" t="n">
        <f aca="false">J211*Assumptions!$F$13</f>
        <v>42553.125</v>
      </c>
      <c r="K212" s="40" t="n">
        <f aca="false">K211*Assumptions!$F$13</f>
        <v>52616.25</v>
      </c>
      <c r="L212" s="54" t="n">
        <f aca="false">SUM(D212:K212)</f>
        <v>182317.5</v>
      </c>
    </row>
    <row r="213" customFormat="false" ht="15" hidden="false" customHeight="false" outlineLevel="0" collapsed="false">
      <c r="A213" s="47" t="n">
        <v>8</v>
      </c>
      <c r="B213" s="21" t="s">
        <v>388</v>
      </c>
      <c r="C213" s="11" t="s">
        <v>338</v>
      </c>
      <c r="D213" s="40" t="n">
        <f aca="false">D212*Assumptions!$F$14</f>
        <v>1182.88125</v>
      </c>
      <c r="E213" s="40" t="n">
        <f aca="false">E212*Assumptions!$F$14</f>
        <v>3680.60625</v>
      </c>
      <c r="F213" s="40" t="n">
        <f aca="false">F212*Assumptions!$F$14</f>
        <v>7625.1375</v>
      </c>
      <c r="G213" s="40" t="n">
        <f aca="false">G212*Assumptions!$F$14</f>
        <v>13148.4375</v>
      </c>
      <c r="H213" s="40" t="n">
        <f aca="false">H212*Assumptions!$F$14</f>
        <v>20382.46875</v>
      </c>
      <c r="I213" s="40" t="n">
        <f aca="false">I212*Assumptions!$F$14</f>
        <v>28056.375</v>
      </c>
      <c r="J213" s="40" t="n">
        <f aca="false">J212*Assumptions!$F$14</f>
        <v>36170.15625</v>
      </c>
      <c r="K213" s="40" t="n">
        <f aca="false">K212*Assumptions!$F$14</f>
        <v>44723.8125</v>
      </c>
      <c r="L213" s="54" t="n">
        <f aca="false">SUM(D213:K213)</f>
        <v>154969.875</v>
      </c>
    </row>
    <row r="214" customFormat="false" ht="15" hidden="false" customHeight="false" outlineLevel="0" collapsed="false">
      <c r="A214" s="47" t="n">
        <v>9</v>
      </c>
      <c r="B214" s="19" t="s">
        <v>389</v>
      </c>
      <c r="C214" s="11" t="s">
        <v>338</v>
      </c>
      <c r="D214" s="54" t="n">
        <f aca="false">D213*Assumptions!$F$15</f>
        <v>887.1609375</v>
      </c>
      <c r="E214" s="54" t="n">
        <f aca="false">E213*Assumptions!$F$15</f>
        <v>2760.4546875</v>
      </c>
      <c r="F214" s="54" t="n">
        <f aca="false">F213*Assumptions!$F$15</f>
        <v>5718.853125</v>
      </c>
      <c r="G214" s="54" t="n">
        <f aca="false">G213*Assumptions!$F$15</f>
        <v>9861.328125</v>
      </c>
      <c r="H214" s="54" t="n">
        <f aca="false">H213*Assumptions!$F$15</f>
        <v>15286.8515625</v>
      </c>
      <c r="I214" s="54" t="n">
        <f aca="false">I213*Assumptions!$F$15</f>
        <v>21042.28125</v>
      </c>
      <c r="J214" s="54" t="n">
        <f aca="false">J213*Assumptions!$F$15</f>
        <v>27127.6171875</v>
      </c>
      <c r="K214" s="54" t="n">
        <f aca="false">K213*Assumptions!$F$15</f>
        <v>33542.859375</v>
      </c>
      <c r="L214" s="54" t="n">
        <f aca="false">SUM(D214:K214)</f>
        <v>116227.40625</v>
      </c>
    </row>
    <row r="215" customFormat="false" ht="15" hidden="false" customHeight="false" outlineLevel="0" collapsed="false">
      <c r="A215" s="47" t="n">
        <v>10</v>
      </c>
      <c r="B215" s="21" t="s">
        <v>390</v>
      </c>
      <c r="C215" s="11" t="s">
        <v>338</v>
      </c>
      <c r="D215" s="38" t="n">
        <f aca="false">D209*Assumptions!$F$38*Assumptions!$F$39*3/100</f>
        <v>28.6277142857143</v>
      </c>
      <c r="E215" s="38" t="n">
        <f aca="false">E209*Assumptions!$F$38*Assumptions!$F$39*3/100</f>
        <v>89.0768571428572</v>
      </c>
      <c r="F215" s="38" t="n">
        <f aca="false">F209*Assumptions!$F$38*Assumptions!$F$39*3/100</f>
        <v>184.541142857143</v>
      </c>
      <c r="G215" s="38" t="n">
        <f aca="false">G209*Assumptions!$F$38*Assumptions!$F$39*3/100</f>
        <v>318.214285714286</v>
      </c>
      <c r="H215" s="38" t="n">
        <f aca="false">H209*Assumptions!$F$38*Assumptions!$F$39*3/100</f>
        <v>493.29</v>
      </c>
      <c r="I215" s="38" t="n">
        <f aca="false">I209*Assumptions!$F$38*Assumptions!$F$39*3/100</f>
        <v>679.011428571428</v>
      </c>
      <c r="J215" s="38" t="n">
        <f aca="false">J209*Assumptions!$F$38*Assumptions!$F$39*3/100</f>
        <v>875.378571428572</v>
      </c>
      <c r="K215" s="38" t="n">
        <f aca="false">K209*Assumptions!$F$38*Assumptions!$F$39*3/100</f>
        <v>1082.39142857143</v>
      </c>
      <c r="L215" s="55" t="n">
        <f aca="false">SUM(D215:K215)</f>
        <v>3750.53142857143</v>
      </c>
    </row>
    <row r="216" customFormat="false" ht="15" hidden="false" customHeight="false" outlineLevel="0" collapsed="false">
      <c r="A216" s="45"/>
      <c r="B216" s="46" t="s">
        <v>391</v>
      </c>
      <c r="C216" s="45"/>
      <c r="D216" s="45"/>
      <c r="E216" s="45"/>
      <c r="F216" s="45"/>
      <c r="G216" s="45"/>
      <c r="H216" s="45"/>
      <c r="I216" s="45"/>
      <c r="J216" s="45"/>
      <c r="K216" s="45"/>
      <c r="L216" s="45"/>
    </row>
    <row r="217" customFormat="false" ht="15" hidden="false" customHeight="false" outlineLevel="0" collapsed="false">
      <c r="A217" s="47" t="n">
        <v>11</v>
      </c>
      <c r="B217" s="21" t="s">
        <v>392</v>
      </c>
      <c r="C217" s="11" t="s">
        <v>338</v>
      </c>
      <c r="D217" s="38" t="n">
        <f aca="false">D212*Assumptions!$F$17*Assumptions!$F$18</f>
        <v>316.5946875</v>
      </c>
      <c r="E217" s="38" t="n">
        <f aca="false">E212*Assumptions!$F$17*Assumptions!$F$18</f>
        <v>985.1034375</v>
      </c>
      <c r="F217" s="38" t="n">
        <f aca="false">F212*Assumptions!$F$17*Assumptions!$F$18</f>
        <v>2040.845625</v>
      </c>
      <c r="G217" s="38" t="n">
        <f aca="false">G212*Assumptions!$F$17*Assumptions!$F$18</f>
        <v>3519.140625</v>
      </c>
      <c r="H217" s="38" t="n">
        <f aca="false">H212*Assumptions!$F$17*Assumptions!$F$18</f>
        <v>5455.3078125</v>
      </c>
      <c r="I217" s="38" t="n">
        <f aca="false">I212*Assumptions!$F$17*Assumptions!$F$18</f>
        <v>7509.20625</v>
      </c>
      <c r="J217" s="38" t="n">
        <f aca="false">J212*Assumptions!$F$17*Assumptions!$F$18</f>
        <v>9680.8359375</v>
      </c>
      <c r="K217" s="38" t="n">
        <f aca="false">K212*Assumptions!$F$17*Assumptions!$F$18</f>
        <v>11970.196875</v>
      </c>
      <c r="L217" s="55" t="n">
        <f aca="false">SUM(D217:K217)</f>
        <v>41477.23125</v>
      </c>
    </row>
    <row r="218" customFormat="false" ht="15" hidden="false" customHeight="false" outlineLevel="0" collapsed="false">
      <c r="A218" s="47" t="n">
        <v>12</v>
      </c>
      <c r="B218" s="21" t="s">
        <v>393</v>
      </c>
      <c r="C218" s="11" t="s">
        <v>338</v>
      </c>
      <c r="D218" s="38" t="n">
        <f aca="false">D217*Assumptions!$F$19</f>
        <v>142.467609375</v>
      </c>
      <c r="E218" s="38" t="n">
        <f aca="false">E217*Assumptions!$F$19</f>
        <v>443.296546875</v>
      </c>
      <c r="F218" s="38" t="n">
        <f aca="false">F217*Assumptions!$F$19</f>
        <v>918.38053125</v>
      </c>
      <c r="G218" s="38" t="n">
        <f aca="false">G217*Assumptions!$F$19</f>
        <v>1583.61328125</v>
      </c>
      <c r="H218" s="38" t="n">
        <f aca="false">H217*Assumptions!$F$19</f>
        <v>2454.888515625</v>
      </c>
      <c r="I218" s="38" t="n">
        <f aca="false">I217*Assumptions!$F$19</f>
        <v>3379.1428125</v>
      </c>
      <c r="J218" s="38" t="n">
        <f aca="false">J217*Assumptions!$F$19</f>
        <v>4356.376171875</v>
      </c>
      <c r="K218" s="38" t="n">
        <f aca="false">K217*Assumptions!$F$19</f>
        <v>5386.58859375</v>
      </c>
      <c r="L218" s="55" t="n">
        <f aca="false">SUM(D218:K218)</f>
        <v>18664.7540625</v>
      </c>
    </row>
    <row r="219" customFormat="false" ht="15" hidden="false" customHeight="false" outlineLevel="0" collapsed="false">
      <c r="A219" s="47" t="n">
        <v>13</v>
      </c>
      <c r="B219" s="21" t="s">
        <v>394</v>
      </c>
      <c r="C219" s="11" t="s">
        <v>338</v>
      </c>
      <c r="D219" s="38" t="n">
        <f aca="false">D217*Assumptions!$F$20</f>
        <v>79.148671875</v>
      </c>
      <c r="E219" s="38" t="n">
        <f aca="false">E217*Assumptions!$F$20</f>
        <v>246.275859375</v>
      </c>
      <c r="F219" s="38" t="n">
        <f aca="false">F217*Assumptions!$F$20</f>
        <v>510.21140625</v>
      </c>
      <c r="G219" s="38" t="n">
        <f aca="false">G217*Assumptions!$F$20</f>
        <v>879.78515625</v>
      </c>
      <c r="H219" s="38" t="n">
        <f aca="false">H217*Assumptions!$F$20</f>
        <v>1363.826953125</v>
      </c>
      <c r="I219" s="38" t="n">
        <f aca="false">I217*Assumptions!$F$20</f>
        <v>1877.3015625</v>
      </c>
      <c r="J219" s="38" t="n">
        <f aca="false">J217*Assumptions!$F$20</f>
        <v>2420.208984375</v>
      </c>
      <c r="K219" s="38" t="n">
        <f aca="false">K217*Assumptions!$F$20</f>
        <v>2992.54921875</v>
      </c>
      <c r="L219" s="55" t="n">
        <f aca="false">SUM(D219:K219)</f>
        <v>10369.3078125</v>
      </c>
    </row>
    <row r="220" customFormat="false" ht="15" hidden="false" customHeight="false" outlineLevel="0" collapsed="false">
      <c r="A220" s="47" t="n">
        <v>14</v>
      </c>
      <c r="B220" s="21" t="s">
        <v>395</v>
      </c>
      <c r="C220" s="11" t="s">
        <v>338</v>
      </c>
      <c r="D220" s="38" t="n">
        <f aca="false">D217*Assumptions!$F$21</f>
        <v>47.489203125</v>
      </c>
      <c r="E220" s="38" t="n">
        <f aca="false">E217*Assumptions!$F$21</f>
        <v>147.765515625</v>
      </c>
      <c r="F220" s="38" t="n">
        <f aca="false">F217*Assumptions!$F$21</f>
        <v>306.12684375</v>
      </c>
      <c r="G220" s="38" t="n">
        <f aca="false">G217*Assumptions!$F$21</f>
        <v>527.87109375</v>
      </c>
      <c r="H220" s="38" t="n">
        <f aca="false">H217*Assumptions!$F$21</f>
        <v>818.296171875</v>
      </c>
      <c r="I220" s="38" t="n">
        <f aca="false">I217*Assumptions!$F$21</f>
        <v>1126.3809375</v>
      </c>
      <c r="J220" s="38" t="n">
        <f aca="false">J217*Assumptions!$F$21</f>
        <v>1452.125390625</v>
      </c>
      <c r="K220" s="38" t="n">
        <f aca="false">K217*Assumptions!$F$21</f>
        <v>1795.52953125</v>
      </c>
      <c r="L220" s="55" t="n">
        <f aca="false">SUM(D220:K220)</f>
        <v>6221.5846875</v>
      </c>
    </row>
    <row r="221" customFormat="false" ht="15" hidden="false" customHeight="false" outlineLevel="0" collapsed="false">
      <c r="A221" s="47" t="n">
        <v>15</v>
      </c>
      <c r="B221" s="21" t="s">
        <v>396</v>
      </c>
      <c r="C221" s="11" t="s">
        <v>338</v>
      </c>
      <c r="D221" s="38" t="n">
        <f aca="false">D217*Assumptions!$F$22</f>
        <v>47.489203125</v>
      </c>
      <c r="E221" s="38" t="n">
        <f aca="false">E217*Assumptions!$F$22</f>
        <v>147.765515625</v>
      </c>
      <c r="F221" s="38" t="n">
        <f aca="false">F217*Assumptions!$F$22</f>
        <v>306.12684375</v>
      </c>
      <c r="G221" s="38" t="n">
        <f aca="false">G217*Assumptions!$F$22</f>
        <v>527.87109375</v>
      </c>
      <c r="H221" s="38" t="n">
        <f aca="false">H217*Assumptions!$F$22</f>
        <v>818.296171875</v>
      </c>
      <c r="I221" s="38" t="n">
        <f aca="false">I217*Assumptions!$F$22</f>
        <v>1126.3809375</v>
      </c>
      <c r="J221" s="38" t="n">
        <f aca="false">J217*Assumptions!$F$22</f>
        <v>1452.125390625</v>
      </c>
      <c r="K221" s="38" t="n">
        <f aca="false">K217*Assumptions!$F$22</f>
        <v>1795.52953125</v>
      </c>
      <c r="L221" s="55" t="n">
        <f aca="false">SUM(D221:K221)</f>
        <v>6221.5846875</v>
      </c>
    </row>
    <row r="222" customFormat="false" ht="15" hidden="false" customHeight="false" outlineLevel="0" collapsed="false">
      <c r="A222" s="47" t="n">
        <v>16</v>
      </c>
      <c r="B222" s="21" t="s">
        <v>397</v>
      </c>
      <c r="C222" s="11" t="s">
        <v>398</v>
      </c>
      <c r="D222" s="27" t="n">
        <f aca="false">D209*Assumptions!$F$27/4</f>
        <v>0.00994017857142857</v>
      </c>
      <c r="E222" s="27" t="n">
        <f aca="false">E209*Assumptions!$F$27/4</f>
        <v>0.0309294642857143</v>
      </c>
      <c r="F222" s="27" t="n">
        <f aca="false">F209*Assumptions!$F$27/4</f>
        <v>0.0640767857142857</v>
      </c>
      <c r="G222" s="27" t="n">
        <f aca="false">G209*Assumptions!$F$27/4</f>
        <v>0.110491071428571</v>
      </c>
      <c r="H222" s="27" t="n">
        <f aca="false">H209*Assumptions!$F$27/4</f>
        <v>0.17128125</v>
      </c>
      <c r="I222" s="27" t="n">
        <f aca="false">I209*Assumptions!$F$27/4</f>
        <v>0.235767857142857</v>
      </c>
      <c r="J222" s="27" t="n">
        <f aca="false">J209*Assumptions!$F$27/4</f>
        <v>0.303950892857143</v>
      </c>
      <c r="K222" s="27" t="n">
        <f aca="false">K209*Assumptions!$F$27/4</f>
        <v>0.375830357142857</v>
      </c>
      <c r="L222" s="52" t="n">
        <f aca="false">SUM(D222:K222)</f>
        <v>1.30226785714286</v>
      </c>
    </row>
    <row r="223" customFormat="false" ht="15" hidden="false" customHeight="false" outlineLevel="0" collapsed="false">
      <c r="A223" s="47" t="n">
        <v>17</v>
      </c>
      <c r="B223" s="21" t="s">
        <v>399</v>
      </c>
      <c r="C223" s="11" t="s">
        <v>338</v>
      </c>
      <c r="D223" s="38" t="n">
        <f aca="false">D222*Assumptions!$F$28/100</f>
        <v>19.8803571428571</v>
      </c>
      <c r="E223" s="38" t="n">
        <f aca="false">E222*Assumptions!$F$28/100</f>
        <v>61.8589285714286</v>
      </c>
      <c r="F223" s="38" t="n">
        <f aca="false">F222*Assumptions!$F$28/100</f>
        <v>128.153571428571</v>
      </c>
      <c r="G223" s="38" t="n">
        <f aca="false">G222*Assumptions!$F$28/100</f>
        <v>220.982142857143</v>
      </c>
      <c r="H223" s="38" t="n">
        <f aca="false">H222*Assumptions!$F$28/100</f>
        <v>342.5625</v>
      </c>
      <c r="I223" s="38" t="n">
        <f aca="false">I222*Assumptions!$F$28/100</f>
        <v>471.535714285714</v>
      </c>
      <c r="J223" s="38" t="n">
        <f aca="false">J222*Assumptions!$F$28/100</f>
        <v>607.901785714286</v>
      </c>
      <c r="K223" s="38" t="n">
        <f aca="false">K222*Assumptions!$F$28/100</f>
        <v>751.660714285714</v>
      </c>
      <c r="L223" s="55" t="n">
        <f aca="false">SUM(D223:K223)</f>
        <v>2604.53571428571</v>
      </c>
    </row>
    <row r="224" customFormat="false" ht="15" hidden="false" customHeight="false" outlineLevel="0" collapsed="false">
      <c r="A224" s="47" t="n">
        <v>18</v>
      </c>
      <c r="B224" s="19" t="s">
        <v>400</v>
      </c>
      <c r="C224" s="11" t="s">
        <v>338</v>
      </c>
      <c r="D224" s="55" t="n">
        <f aca="false">D217+D223</f>
        <v>336.475044642857</v>
      </c>
      <c r="E224" s="55" t="n">
        <f aca="false">E217+E223</f>
        <v>1046.96236607143</v>
      </c>
      <c r="F224" s="55" t="n">
        <f aca="false">F217+F223</f>
        <v>2168.99919642857</v>
      </c>
      <c r="G224" s="55" t="n">
        <f aca="false">G217+G223</f>
        <v>3740.12276785714</v>
      </c>
      <c r="H224" s="55" t="n">
        <f aca="false">H217+H223</f>
        <v>5797.8703125</v>
      </c>
      <c r="I224" s="55" t="n">
        <f aca="false">I217+I223</f>
        <v>7980.74196428572</v>
      </c>
      <c r="J224" s="55" t="n">
        <f aca="false">J217+J223</f>
        <v>10288.7377232143</v>
      </c>
      <c r="K224" s="55" t="n">
        <f aca="false">K217+K223</f>
        <v>12721.8575892857</v>
      </c>
      <c r="L224" s="55" t="n">
        <f aca="false">SUM(D224:K224)</f>
        <v>44081.7669642857</v>
      </c>
    </row>
    <row r="225" customFormat="false" ht="15" hidden="false" customHeight="false" outlineLevel="0" collapsed="false">
      <c r="A225" s="45"/>
      <c r="B225" s="46" t="s">
        <v>401</v>
      </c>
      <c r="C225" s="45"/>
      <c r="D225" s="45"/>
      <c r="E225" s="45"/>
      <c r="F225" s="45"/>
      <c r="G225" s="45"/>
      <c r="H225" s="45"/>
      <c r="I225" s="45"/>
      <c r="J225" s="45"/>
      <c r="K225" s="45"/>
      <c r="L225" s="45"/>
    </row>
    <row r="226" customFormat="false" ht="15" hidden="false" customHeight="false" outlineLevel="0" collapsed="false">
      <c r="A226" s="47" t="n">
        <v>19</v>
      </c>
      <c r="B226" s="21" t="s">
        <v>402</v>
      </c>
      <c r="C226" s="11" t="s">
        <v>338</v>
      </c>
      <c r="D226" s="27" t="n">
        <f aca="false">D218*Assumptions!$F$23+D219*Assumptions!$F$24+D220*Assumptions!$F$25+D221*Assumptions!$F$26</f>
        <v>1.55131396875</v>
      </c>
      <c r="E226" s="27" t="n">
        <f aca="false">E218*Assumptions!$F$23+E219*Assumptions!$F$24+E220*Assumptions!$F$25+E221*Assumptions!$F$26</f>
        <v>4.82700684375</v>
      </c>
      <c r="F226" s="27" t="n">
        <f aca="false">F218*Assumptions!$F$23+F219*Assumptions!$F$24+F220*Assumptions!$F$25+F221*Assumptions!$F$26</f>
        <v>10.0001435625</v>
      </c>
      <c r="G226" s="27" t="n">
        <f aca="false">G218*Assumptions!$F$23+G219*Assumptions!$F$24+G220*Assumptions!$F$25+G221*Assumptions!$F$26</f>
        <v>17.2437890625</v>
      </c>
      <c r="H226" s="27" t="n">
        <f aca="false">H218*Assumptions!$F$23+H219*Assumptions!$F$24+H220*Assumptions!$F$25+H221*Assumptions!$F$26</f>
        <v>26.73100828125</v>
      </c>
      <c r="I226" s="27" t="n">
        <f aca="false">I218*Assumptions!$F$23+I219*Assumptions!$F$24+I220*Assumptions!$F$25+I221*Assumptions!$F$26</f>
        <v>36.795110625</v>
      </c>
      <c r="J226" s="27" t="n">
        <f aca="false">J218*Assumptions!$F$23+J219*Assumptions!$F$24+J220*Assumptions!$F$25+J221*Assumptions!$F$26</f>
        <v>47.43609609375</v>
      </c>
      <c r="K226" s="27" t="n">
        <f aca="false">K218*Assumptions!$F$23+K219*Assumptions!$F$24+K220*Assumptions!$F$25+K221*Assumptions!$F$26</f>
        <v>58.6539646875</v>
      </c>
      <c r="L226" s="52" t="n">
        <f aca="false">SUM(D226:K226)</f>
        <v>203.238433125</v>
      </c>
    </row>
    <row r="227" customFormat="false" ht="15" hidden="false" customHeight="false" outlineLevel="0" collapsed="false">
      <c r="A227" s="47" t="n">
        <v>20</v>
      </c>
      <c r="B227" s="21" t="s">
        <v>403</v>
      </c>
      <c r="C227" s="11" t="s">
        <v>338</v>
      </c>
      <c r="D227" s="27" t="n">
        <f aca="false">D223*Assumptions!$F$29</f>
        <v>0.795214285714286</v>
      </c>
      <c r="E227" s="27" t="n">
        <f aca="false">E223*Assumptions!$F$29</f>
        <v>2.47435714285714</v>
      </c>
      <c r="F227" s="27" t="n">
        <f aca="false">F223*Assumptions!$F$29</f>
        <v>5.12614285714286</v>
      </c>
      <c r="G227" s="27" t="n">
        <f aca="false">G223*Assumptions!$F$29</f>
        <v>8.83928571428572</v>
      </c>
      <c r="H227" s="27" t="n">
        <f aca="false">H223*Assumptions!$F$29</f>
        <v>13.7025</v>
      </c>
      <c r="I227" s="27" t="n">
        <f aca="false">I223*Assumptions!$F$29</f>
        <v>18.8614285714286</v>
      </c>
      <c r="J227" s="27" t="n">
        <f aca="false">J223*Assumptions!$F$29</f>
        <v>24.3160714285714</v>
      </c>
      <c r="K227" s="27" t="n">
        <f aca="false">K223*Assumptions!$F$29</f>
        <v>30.0664285714286</v>
      </c>
      <c r="L227" s="52" t="n">
        <f aca="false">SUM(D227:K227)</f>
        <v>104.181428571429</v>
      </c>
    </row>
    <row r="228" customFormat="false" ht="15" hidden="false" customHeight="false" outlineLevel="0" collapsed="false">
      <c r="A228" s="47" t="n">
        <v>21</v>
      </c>
      <c r="B228" s="21" t="s">
        <v>404</v>
      </c>
      <c r="C228" s="11" t="s">
        <v>338</v>
      </c>
      <c r="D228" s="27" t="n">
        <f aca="false">D214*Assumptions!$F$34*Assumptions!$F$35*Assumptions!$F$33</f>
        <v>0.9980560546875</v>
      </c>
      <c r="E228" s="27" t="n">
        <f aca="false">E214*Assumptions!$F$34*Assumptions!$F$35*Assumptions!$F$33</f>
        <v>3.1055115234375</v>
      </c>
      <c r="F228" s="27" t="n">
        <f aca="false">F214*Assumptions!$F$34*Assumptions!$F$35*Assumptions!$F$33</f>
        <v>6.433709765625</v>
      </c>
      <c r="G228" s="27" t="n">
        <f aca="false">G214*Assumptions!$F$34*Assumptions!$F$35*Assumptions!$F$33</f>
        <v>11.093994140625</v>
      </c>
      <c r="H228" s="27" t="n">
        <f aca="false">H214*Assumptions!$F$34*Assumptions!$F$35*Assumptions!$F$33</f>
        <v>17.1977080078125</v>
      </c>
      <c r="I228" s="27" t="n">
        <f aca="false">I214*Assumptions!$F$34*Assumptions!$F$35*Assumptions!$F$33</f>
        <v>23.67256640625</v>
      </c>
      <c r="J228" s="27" t="n">
        <f aca="false">J214*Assumptions!$F$34*Assumptions!$F$35*Assumptions!$F$33</f>
        <v>30.5185693359375</v>
      </c>
      <c r="K228" s="27" t="n">
        <f aca="false">K214*Assumptions!$F$34*Assumptions!$F$35*Assumptions!$F$33</f>
        <v>37.735716796875</v>
      </c>
      <c r="L228" s="52" t="n">
        <f aca="false">SUM(D228:K228)</f>
        <v>130.75583203125</v>
      </c>
    </row>
    <row r="229" customFormat="false" ht="15" hidden="false" customHeight="false" outlineLevel="0" collapsed="false">
      <c r="A229" s="47" t="n">
        <v>22</v>
      </c>
      <c r="B229" s="21" t="s">
        <v>405</v>
      </c>
      <c r="C229" s="11" t="s">
        <v>338</v>
      </c>
      <c r="D229" s="27" t="n">
        <f aca="false">D209*Assumptions!$F$36*Assumptions!$F$37*3/100</f>
        <v>0.355460785714286</v>
      </c>
      <c r="E229" s="27" t="n">
        <f aca="false">E209*Assumptions!$F$36*Assumptions!$F$37*3/100</f>
        <v>1.10603764285714</v>
      </c>
      <c r="F229" s="27" t="n">
        <f aca="false">F209*Assumptions!$F$36*Assumptions!$F$37*3/100</f>
        <v>2.29138585714286</v>
      </c>
      <c r="G229" s="27" t="n">
        <f aca="false">G209*Assumptions!$F$36*Assumptions!$F$37*3/100</f>
        <v>3.95116071428572</v>
      </c>
      <c r="H229" s="27" t="n">
        <f aca="false">H209*Assumptions!$F$36*Assumptions!$F$37*3/100</f>
        <v>6.1250175</v>
      </c>
      <c r="I229" s="27" t="n">
        <f aca="false">I209*Assumptions!$F$36*Assumptions!$F$37*3/100</f>
        <v>8.43105857142857</v>
      </c>
      <c r="J229" s="27" t="n">
        <f aca="false">J209*Assumptions!$F$36*Assumptions!$F$37*3/100</f>
        <v>10.8692839285714</v>
      </c>
      <c r="K229" s="27" t="n">
        <f aca="false">K209*Assumptions!$F$36*Assumptions!$F$37*3/100</f>
        <v>13.4396935714286</v>
      </c>
      <c r="L229" s="52" t="n">
        <f aca="false">SUM(D229:K229)</f>
        <v>46.5690985714286</v>
      </c>
    </row>
    <row r="230" customFormat="false" ht="15" hidden="false" customHeight="false" outlineLevel="0" collapsed="false">
      <c r="A230" s="47" t="n">
        <v>23</v>
      </c>
      <c r="B230" s="21" t="s">
        <v>406</v>
      </c>
      <c r="C230" s="11" t="s">
        <v>338</v>
      </c>
      <c r="D230" s="27" t="n">
        <f aca="false">D215*Assumptions!$F$6</f>
        <v>0.0114510857142857</v>
      </c>
      <c r="E230" s="27" t="n">
        <f aca="false">E215*Assumptions!$F$6</f>
        <v>0.0356307428571429</v>
      </c>
      <c r="F230" s="27" t="n">
        <f aca="false">F215*Assumptions!$F$6</f>
        <v>0.0738164571428571</v>
      </c>
      <c r="G230" s="27" t="n">
        <f aca="false">G215*Assumptions!$F$6</f>
        <v>0.127285714285714</v>
      </c>
      <c r="H230" s="27" t="n">
        <f aca="false">H215*Assumptions!$F$6</f>
        <v>0.197316</v>
      </c>
      <c r="I230" s="27" t="n">
        <f aca="false">I215*Assumptions!$F$6</f>
        <v>0.271604571428571</v>
      </c>
      <c r="J230" s="27" t="n">
        <f aca="false">J215*Assumptions!$F$6</f>
        <v>0.350151428571429</v>
      </c>
      <c r="K230" s="27" t="n">
        <f aca="false">K215*Assumptions!$F$6</f>
        <v>0.432956571428571</v>
      </c>
      <c r="L230" s="52" t="n">
        <f aca="false">SUM(D230:K230)</f>
        <v>1.50021257142857</v>
      </c>
    </row>
    <row r="231" customFormat="false" ht="15" hidden="false" customHeight="false" outlineLevel="0" collapsed="false">
      <c r="A231" s="47" t="n">
        <v>24</v>
      </c>
      <c r="B231" s="21" t="s">
        <v>407</v>
      </c>
      <c r="C231" s="11" t="s">
        <v>338</v>
      </c>
      <c r="D231" s="27" t="n">
        <f aca="false">SUM(D226:D230)</f>
        <v>3.71149618058036</v>
      </c>
      <c r="E231" s="27" t="n">
        <f aca="false">SUM(E226:E230)</f>
        <v>11.5485438957589</v>
      </c>
      <c r="F231" s="27" t="n">
        <f aca="false">SUM(F226:F230)</f>
        <v>23.9251984995536</v>
      </c>
      <c r="G231" s="27" t="n">
        <f aca="false">SUM(G226:G230)</f>
        <v>41.2555153459822</v>
      </c>
      <c r="H231" s="27" t="n">
        <f aca="false">SUM(H226:H230)</f>
        <v>63.9535497890625</v>
      </c>
      <c r="I231" s="27" t="n">
        <f aca="false">SUM(I226:I230)</f>
        <v>88.0317687455357</v>
      </c>
      <c r="J231" s="27" t="n">
        <f aca="false">SUM(J226:J230)</f>
        <v>113.490172215402</v>
      </c>
      <c r="K231" s="27" t="n">
        <f aca="false">SUM(K226:K230)</f>
        <v>140.328760198661</v>
      </c>
      <c r="L231" s="52" t="n">
        <f aca="false">SUM(D231:K231)</f>
        <v>486.245004870536</v>
      </c>
    </row>
    <row r="232" customFormat="false" ht="15" hidden="false" customHeight="false" outlineLevel="0" collapsed="false">
      <c r="A232" s="47" t="n">
        <v>25</v>
      </c>
      <c r="B232" s="21" t="s">
        <v>408</v>
      </c>
      <c r="C232" s="11" t="s">
        <v>338</v>
      </c>
      <c r="D232" s="27" t="n">
        <f aca="false">D209*Assumptions!$F$41*3/100+D209*Assumptions!$F$36*Assumptions!$F$42*3/100</f>
        <v>0.103377857142857</v>
      </c>
      <c r="E232" s="27" t="n">
        <f aca="false">E209*Assumptions!$F$41*3/100+E209*Assumptions!$F$36*Assumptions!$F$42*3/100</f>
        <v>0.321666428571429</v>
      </c>
      <c r="F232" s="27" t="n">
        <f aca="false">F209*Assumptions!$F$41*3/100+F209*Assumptions!$F$36*Assumptions!$F$42*3/100</f>
        <v>0.666398571428571</v>
      </c>
      <c r="G232" s="27" t="n">
        <f aca="false">G209*Assumptions!$F$41*3/100+G209*Assumptions!$F$36*Assumptions!$F$42*3/100</f>
        <v>1.14910714285714</v>
      </c>
      <c r="H232" s="27" t="n">
        <f aca="false">H209*Assumptions!$F$41*3/100+H209*Assumptions!$F$36*Assumptions!$F$42*3/100</f>
        <v>1.781325</v>
      </c>
      <c r="I232" s="27" t="n">
        <f aca="false">I209*Assumptions!$F$41*3/100+I209*Assumptions!$F$36*Assumptions!$F$42*3/100</f>
        <v>2.45198571428571</v>
      </c>
      <c r="J232" s="27" t="n">
        <f aca="false">J209*Assumptions!$F$41*3/100+J209*Assumptions!$F$36*Assumptions!$F$42*3/100</f>
        <v>3.16108928571429</v>
      </c>
      <c r="K232" s="27" t="n">
        <f aca="false">K209*Assumptions!$F$41*3/100+K209*Assumptions!$F$36*Assumptions!$F$42*3/100</f>
        <v>3.90863571428571</v>
      </c>
      <c r="L232" s="52" t="n">
        <f aca="false">SUM(D232:K232)</f>
        <v>13.5435857142857</v>
      </c>
    </row>
    <row r="233" customFormat="false" ht="15" hidden="false" customHeight="false" outlineLevel="0" collapsed="false">
      <c r="A233" s="47" t="n">
        <v>26</v>
      </c>
      <c r="B233" s="21" t="s">
        <v>409</v>
      </c>
      <c r="C233" s="11" t="s">
        <v>338</v>
      </c>
      <c r="D233" s="27" t="n">
        <f aca="false">D210*Assumptions!$F$43/100</f>
        <v>0.397607142857143</v>
      </c>
      <c r="E233" s="27" t="n">
        <f aca="false">E210*Assumptions!$F$43/100</f>
        <v>0.839571428571429</v>
      </c>
      <c r="F233" s="27" t="n">
        <f aca="false">F210*Assumptions!$F$43/100</f>
        <v>1.32589285714286</v>
      </c>
      <c r="G233" s="27" t="n">
        <f aca="false">G210*Assumptions!$F$43/100</f>
        <v>1.85657142857143</v>
      </c>
      <c r="H233" s="27" t="n">
        <f aca="false">H210*Assumptions!$F$43/100</f>
        <v>2.43160714285714</v>
      </c>
      <c r="I233" s="27" t="n">
        <f aca="false">I210*Assumptions!$F$43/100</f>
        <v>2.57946428571429</v>
      </c>
      <c r="J233" s="27" t="n">
        <f aca="false">J210*Assumptions!$F$43/100</f>
        <v>2.72732142857143</v>
      </c>
      <c r="K233" s="27" t="n">
        <f aca="false">K210*Assumptions!$F$43/100</f>
        <v>2.87517857142857</v>
      </c>
      <c r="L233" s="52" t="n">
        <f aca="false">SUM(D233:K233)</f>
        <v>15.0332142857143</v>
      </c>
    </row>
    <row r="234" customFormat="false" ht="15" hidden="false" customHeight="false" outlineLevel="0" collapsed="false">
      <c r="A234" s="47" t="n">
        <v>27</v>
      </c>
      <c r="B234" s="21" t="s">
        <v>410</v>
      </c>
      <c r="C234" s="11" t="s">
        <v>338</v>
      </c>
      <c r="D234" s="27" t="n">
        <f aca="false">D209*Assumptions!$F$44*3/100</f>
        <v>0.0636171428571429</v>
      </c>
      <c r="E234" s="27" t="n">
        <f aca="false">E209*Assumptions!$F$44*3/100</f>
        <v>0.197948571428571</v>
      </c>
      <c r="F234" s="27" t="n">
        <f aca="false">F209*Assumptions!$F$44*3/100</f>
        <v>0.410091428571429</v>
      </c>
      <c r="G234" s="27" t="n">
        <f aca="false">G209*Assumptions!$F$44*3/100</f>
        <v>0.707142857142857</v>
      </c>
      <c r="H234" s="27" t="n">
        <f aca="false">H209*Assumptions!$F$44*3/100</f>
        <v>1.0962</v>
      </c>
      <c r="I234" s="27" t="n">
        <f aca="false">I209*Assumptions!$F$44*3/100</f>
        <v>1.50891428571429</v>
      </c>
      <c r="J234" s="27" t="n">
        <f aca="false">J209*Assumptions!$F$44*3/100</f>
        <v>1.94528571428571</v>
      </c>
      <c r="K234" s="27" t="n">
        <f aca="false">K209*Assumptions!$F$44*3/100</f>
        <v>2.40531428571429</v>
      </c>
      <c r="L234" s="52" t="n">
        <f aca="false">SUM(D234:K234)</f>
        <v>8.33451428571429</v>
      </c>
    </row>
    <row r="235" customFormat="false" ht="15" hidden="false" customHeight="false" outlineLevel="0" collapsed="false">
      <c r="A235" s="47" t="n">
        <v>28</v>
      </c>
      <c r="B235" s="21" t="s">
        <v>411</v>
      </c>
      <c r="C235" s="11" t="s">
        <v>338</v>
      </c>
      <c r="D235" s="27" t="n">
        <f aca="false">D214*Assumptions!$F$45</f>
        <v>0.044358046875</v>
      </c>
      <c r="E235" s="27" t="n">
        <f aca="false">E214*Assumptions!$F$45</f>
        <v>0.138022734375</v>
      </c>
      <c r="F235" s="27" t="n">
        <f aca="false">F214*Assumptions!$F$45</f>
        <v>0.28594265625</v>
      </c>
      <c r="G235" s="27" t="n">
        <f aca="false">G214*Assumptions!$F$45</f>
        <v>0.49306640625</v>
      </c>
      <c r="H235" s="27" t="n">
        <f aca="false">H214*Assumptions!$F$45</f>
        <v>0.764342578125</v>
      </c>
      <c r="I235" s="27" t="n">
        <f aca="false">I214*Assumptions!$F$45</f>
        <v>1.0521140625</v>
      </c>
      <c r="J235" s="27" t="n">
        <f aca="false">J214*Assumptions!$F$45</f>
        <v>1.356380859375</v>
      </c>
      <c r="K235" s="27" t="n">
        <f aca="false">K214*Assumptions!$F$45</f>
        <v>1.67714296875</v>
      </c>
      <c r="L235" s="52" t="n">
        <f aca="false">SUM(D235:K235)</f>
        <v>5.8113703125</v>
      </c>
    </row>
    <row r="236" customFormat="false" ht="15" hidden="false" customHeight="false" outlineLevel="0" collapsed="false">
      <c r="A236" s="47" t="n">
        <v>29</v>
      </c>
      <c r="B236" s="21" t="s">
        <v>412</v>
      </c>
      <c r="C236" s="11" t="s">
        <v>338</v>
      </c>
      <c r="D236" s="27" t="n">
        <f aca="false">D218*Assumptions!$F$30+D223*Assumptions!$F$31</f>
        <v>0</v>
      </c>
      <c r="E236" s="27" t="n">
        <f aca="false">E218*Assumptions!$F$30+E223*Assumptions!$F$31</f>
        <v>0</v>
      </c>
      <c r="F236" s="27" t="n">
        <f aca="false">F218*Assumptions!$F$30+F223*Assumptions!$F$31</f>
        <v>0</v>
      </c>
      <c r="G236" s="27" t="n">
        <f aca="false">G218*Assumptions!$F$30+G223*Assumptions!$F$31</f>
        <v>0</v>
      </c>
      <c r="H236" s="27" t="n">
        <f aca="false">H218*Assumptions!$F$30+H223*Assumptions!$F$31</f>
        <v>0</v>
      </c>
      <c r="I236" s="27" t="n">
        <f aca="false">I218*Assumptions!$F$30+I223*Assumptions!$F$31</f>
        <v>0</v>
      </c>
      <c r="J236" s="27" t="n">
        <f aca="false">J218*Assumptions!$F$30+J223*Assumptions!$F$31</f>
        <v>0</v>
      </c>
      <c r="K236" s="27" t="n">
        <f aca="false">K218*Assumptions!$F$30+K223*Assumptions!$F$31</f>
        <v>0</v>
      </c>
      <c r="L236" s="52" t="n">
        <f aca="false">SUM(D236:K236)</f>
        <v>0</v>
      </c>
    </row>
    <row r="237" customFormat="false" ht="15" hidden="false" customHeight="false" outlineLevel="0" collapsed="false">
      <c r="A237" s="47" t="n">
        <v>30</v>
      </c>
      <c r="B237" s="21" t="s">
        <v>413</v>
      </c>
      <c r="C237" s="11" t="s">
        <v>338</v>
      </c>
      <c r="D237" s="27" t="n">
        <f aca="false">SUM(D232:D236)</f>
        <v>0.608960189732143</v>
      </c>
      <c r="E237" s="27" t="n">
        <f aca="false">SUM(E232:E236)</f>
        <v>1.49720916294643</v>
      </c>
      <c r="F237" s="27" t="n">
        <f aca="false">SUM(F232:F236)</f>
        <v>2.68832551339286</v>
      </c>
      <c r="G237" s="27" t="n">
        <f aca="false">SUM(G232:G236)</f>
        <v>4.20588783482143</v>
      </c>
      <c r="H237" s="27" t="n">
        <f aca="false">SUM(H232:H236)</f>
        <v>6.07347472098214</v>
      </c>
      <c r="I237" s="27" t="n">
        <f aca="false">SUM(I232:I236)</f>
        <v>7.59247834821429</v>
      </c>
      <c r="J237" s="27" t="n">
        <f aca="false">SUM(J232:J236)</f>
        <v>9.19007728794643</v>
      </c>
      <c r="K237" s="27" t="n">
        <f aca="false">SUM(K232:K236)</f>
        <v>10.8662715401786</v>
      </c>
      <c r="L237" s="52" t="n">
        <f aca="false">SUM(D237:K237)</f>
        <v>42.7226845982143</v>
      </c>
    </row>
    <row r="238" customFormat="false" ht="15" hidden="false" customHeight="false" outlineLevel="0" collapsed="false">
      <c r="A238" s="47" t="n">
        <v>31</v>
      </c>
      <c r="B238" s="19" t="s">
        <v>414</v>
      </c>
      <c r="C238" s="11" t="s">
        <v>338</v>
      </c>
      <c r="D238" s="52" t="n">
        <f aca="false">D231-D237</f>
        <v>3.10253599084821</v>
      </c>
      <c r="E238" s="52" t="n">
        <f aca="false">E231-E237</f>
        <v>10.0513347328125</v>
      </c>
      <c r="F238" s="52" t="n">
        <f aca="false">F231-F237</f>
        <v>21.2368729861607</v>
      </c>
      <c r="G238" s="52" t="n">
        <f aca="false">G231-G237</f>
        <v>37.0496275111607</v>
      </c>
      <c r="H238" s="52" t="n">
        <f aca="false">H231-H237</f>
        <v>57.8800750680804</v>
      </c>
      <c r="I238" s="52" t="n">
        <f aca="false">I231-I237</f>
        <v>80.4392903973214</v>
      </c>
      <c r="J238" s="52" t="n">
        <f aca="false">J231-J237</f>
        <v>104.300094927455</v>
      </c>
      <c r="K238" s="52" t="n">
        <f aca="false">K231-K237</f>
        <v>129.462488658482</v>
      </c>
      <c r="L238" s="52" t="n">
        <f aca="false">SUM(D238:K238)</f>
        <v>443.522320272321</v>
      </c>
    </row>
    <row r="239" customFormat="false" ht="15" hidden="false" customHeight="false" outlineLevel="0" collapsed="false">
      <c r="A239" s="47" t="n">
        <v>32</v>
      </c>
      <c r="B239" s="21" t="s">
        <v>415</v>
      </c>
      <c r="C239" s="11" t="s">
        <v>338</v>
      </c>
      <c r="D239" s="27" t="n">
        <f aca="false">D212*Assumptions!$F$49</f>
        <v>4.174875</v>
      </c>
      <c r="E239" s="27" t="n">
        <f aca="false">E212*Assumptions!$F$49</f>
        <v>12.990375</v>
      </c>
      <c r="F239" s="27" t="n">
        <f aca="false">F212*Assumptions!$F$49</f>
        <v>26.91225</v>
      </c>
      <c r="G239" s="27" t="n">
        <f aca="false">G212*Assumptions!$F$49</f>
        <v>46.40625</v>
      </c>
      <c r="H239" s="27" t="n">
        <f aca="false">H212*Assumptions!$F$49</f>
        <v>71.938125</v>
      </c>
      <c r="I239" s="27" t="n">
        <f aca="false">I212*Assumptions!$F$49</f>
        <v>99.0225</v>
      </c>
      <c r="J239" s="27" t="n">
        <f aca="false">J212*Assumptions!$F$49</f>
        <v>127.659375</v>
      </c>
      <c r="K239" s="27" t="n">
        <f aca="false">K212*Assumptions!$F$49</f>
        <v>157.84875</v>
      </c>
      <c r="L239" s="52" t="n">
        <f aca="false">SUM(D239:K239)</f>
        <v>546.9525</v>
      </c>
    </row>
    <row r="240" customFormat="false" ht="15" hidden="false" customHeight="false" outlineLevel="0" collapsed="false">
      <c r="A240" s="45"/>
      <c r="B240" s="46" t="s">
        <v>168</v>
      </c>
      <c r="C240" s="45"/>
      <c r="D240" s="45"/>
      <c r="E240" s="45"/>
      <c r="F240" s="45"/>
      <c r="G240" s="45"/>
      <c r="H240" s="45"/>
      <c r="I240" s="45"/>
      <c r="J240" s="45"/>
      <c r="K240" s="45"/>
      <c r="L240" s="45"/>
    </row>
    <row r="241" customFormat="false" ht="15" hidden="false" customHeight="false" outlineLevel="0" collapsed="false">
      <c r="A241" s="47" t="n">
        <v>33</v>
      </c>
      <c r="B241" s="21" t="s">
        <v>416</v>
      </c>
      <c r="C241" s="11" t="s">
        <v>260</v>
      </c>
      <c r="D241" s="50" t="n">
        <f aca="false">Assumptions!D$80</f>
        <v>0.05</v>
      </c>
      <c r="E241" s="50" t="n">
        <f aca="false">Assumptions!E$80</f>
        <v>0.15</v>
      </c>
      <c r="F241" s="50" t="n">
        <f aca="false">Assumptions!F$80</f>
        <v>0.3</v>
      </c>
      <c r="G241" s="50" t="n">
        <f aca="false">Assumptions!G$80</f>
        <v>0.45</v>
      </c>
      <c r="H241" s="50" t="n">
        <f aca="false">Assumptions!H$80</f>
        <v>0.6</v>
      </c>
      <c r="I241" s="50" t="n">
        <f aca="false">Assumptions!I$80</f>
        <v>0.7</v>
      </c>
      <c r="J241" s="50" t="n">
        <f aca="false">Assumptions!J$80</f>
        <v>0.8</v>
      </c>
      <c r="K241" s="50" t="n">
        <f aca="false">Assumptions!K$80</f>
        <v>0.85</v>
      </c>
      <c r="L241" s="51" t="n">
        <f aca="false">K241</f>
        <v>0.85</v>
      </c>
    </row>
    <row r="242" customFormat="false" ht="15" hidden="false" customHeight="false" outlineLevel="0" collapsed="false">
      <c r="A242" s="47" t="n">
        <v>34</v>
      </c>
      <c r="B242" s="21" t="s">
        <v>417</v>
      </c>
      <c r="C242" s="11" t="s">
        <v>381</v>
      </c>
      <c r="D242" s="27" t="n">
        <f aca="false">D206*D241</f>
        <v>8.83571428571429</v>
      </c>
      <c r="E242" s="27" t="n">
        <f aca="false">E206*E241</f>
        <v>27.4928571428571</v>
      </c>
      <c r="F242" s="27" t="n">
        <f aca="false">F206*F241</f>
        <v>56.9571428571429</v>
      </c>
      <c r="G242" s="27" t="n">
        <f aca="false">G206*G241</f>
        <v>88.3928571428572</v>
      </c>
      <c r="H242" s="27" t="n">
        <f aca="false">H206*H241</f>
        <v>121.8</v>
      </c>
      <c r="I242" s="27" t="n">
        <f aca="false">I206*I241</f>
        <v>146.7</v>
      </c>
      <c r="J242" s="27" t="n">
        <f aca="false">J206*J241</f>
        <v>172.914285714286</v>
      </c>
      <c r="K242" s="27" t="n">
        <f aca="false">K206*K241</f>
        <v>189.307142857143</v>
      </c>
      <c r="L242" s="49" t="n">
        <f aca="false">K242</f>
        <v>189.307142857143</v>
      </c>
    </row>
    <row r="243" customFormat="false" ht="15" hidden="false" customHeight="false" outlineLevel="0" collapsed="false">
      <c r="A243" s="47" t="n">
        <v>35</v>
      </c>
      <c r="B243" s="21" t="s">
        <v>418</v>
      </c>
      <c r="C243" s="11" t="s">
        <v>381</v>
      </c>
      <c r="D243" s="27" t="n">
        <f aca="false">D242*Assumptions!$F$51/100/4</f>
        <v>0.883571428571429</v>
      </c>
      <c r="E243" s="27" t="n">
        <f aca="false">E242*Assumptions!$F$51/100/4</f>
        <v>2.74928571428571</v>
      </c>
      <c r="F243" s="27" t="n">
        <f aca="false">F242*Assumptions!$F$51/100/4</f>
        <v>5.69571428571429</v>
      </c>
      <c r="G243" s="27" t="n">
        <f aca="false">G242*Assumptions!$F$51/100/4</f>
        <v>8.83928571428572</v>
      </c>
      <c r="H243" s="27" t="n">
        <f aca="false">H242*Assumptions!$F$51/100/4</f>
        <v>12.18</v>
      </c>
      <c r="I243" s="27" t="n">
        <f aca="false">I242*Assumptions!$F$51/100/4</f>
        <v>14.67</v>
      </c>
      <c r="J243" s="27" t="n">
        <f aca="false">J242*Assumptions!$F$51/100/4</f>
        <v>17.2914285714286</v>
      </c>
      <c r="K243" s="27" t="n">
        <f aca="false">K242*Assumptions!$F$51/100/4</f>
        <v>18.9307142857143</v>
      </c>
      <c r="L243" s="52" t="n">
        <f aca="false">SUM(D243:K243)</f>
        <v>81.24</v>
      </c>
    </row>
    <row r="244" customFormat="false" ht="15" hidden="false" customHeight="false" outlineLevel="0" collapsed="false">
      <c r="A244" s="47" t="n">
        <v>36</v>
      </c>
      <c r="B244" s="21" t="s">
        <v>419</v>
      </c>
      <c r="C244" s="11" t="s">
        <v>381</v>
      </c>
      <c r="D244" s="27" t="n">
        <f aca="false">D243*Assumptions!$F$52*Assumptions!$F$53</f>
        <v>0.238564285714286</v>
      </c>
      <c r="E244" s="27" t="n">
        <f aca="false">E243*Assumptions!$F$52*Assumptions!$F$53</f>
        <v>0.742307142857143</v>
      </c>
      <c r="F244" s="27" t="n">
        <f aca="false">F243*Assumptions!$F$52*Assumptions!$F$53</f>
        <v>1.53784285714286</v>
      </c>
      <c r="G244" s="27" t="n">
        <f aca="false">G243*Assumptions!$F$52*Assumptions!$F$53</f>
        <v>2.38660714285714</v>
      </c>
      <c r="H244" s="27" t="n">
        <f aca="false">H243*Assumptions!$F$52*Assumptions!$F$53</f>
        <v>3.2886</v>
      </c>
      <c r="I244" s="27" t="n">
        <f aca="false">I243*Assumptions!$F$52*Assumptions!$F$53</f>
        <v>3.9609</v>
      </c>
      <c r="J244" s="27" t="n">
        <f aca="false">J243*Assumptions!$F$52*Assumptions!$F$53</f>
        <v>4.66868571428572</v>
      </c>
      <c r="K244" s="27" t="n">
        <f aca="false">K243*Assumptions!$F$52*Assumptions!$F$53</f>
        <v>5.11129285714286</v>
      </c>
      <c r="L244" s="52" t="n">
        <f aca="false">SUM(D244:K244)</f>
        <v>21.9348</v>
      </c>
    </row>
    <row r="245" customFormat="false" ht="15" hidden="false" customHeight="false" outlineLevel="0" collapsed="false">
      <c r="A245" s="47" t="n">
        <v>37</v>
      </c>
      <c r="B245" s="21" t="s">
        <v>420</v>
      </c>
      <c r="C245" s="11" t="s">
        <v>381</v>
      </c>
      <c r="D245" s="27" t="n">
        <f aca="false">D243*Assumptions!$F$55*Assumptions!$F$56</f>
        <v>0.0441785714285714</v>
      </c>
      <c r="E245" s="27" t="n">
        <f aca="false">E243*Assumptions!$F$55*Assumptions!$F$56</f>
        <v>0.137464285714286</v>
      </c>
      <c r="F245" s="27" t="n">
        <f aca="false">F243*Assumptions!$F$55*Assumptions!$F$56</f>
        <v>0.284785714285714</v>
      </c>
      <c r="G245" s="27" t="n">
        <f aca="false">G243*Assumptions!$F$55*Assumptions!$F$56</f>
        <v>0.441964285714286</v>
      </c>
      <c r="H245" s="27" t="n">
        <f aca="false">H243*Assumptions!$F$55*Assumptions!$F$56</f>
        <v>0.609</v>
      </c>
      <c r="I245" s="27" t="n">
        <f aca="false">I243*Assumptions!$F$55*Assumptions!$F$56</f>
        <v>0.7335</v>
      </c>
      <c r="J245" s="27" t="n">
        <f aca="false">J243*Assumptions!$F$55*Assumptions!$F$56</f>
        <v>0.864571428571429</v>
      </c>
      <c r="K245" s="27" t="n">
        <f aca="false">K243*Assumptions!$F$55*Assumptions!$F$56</f>
        <v>0.946535714285714</v>
      </c>
      <c r="L245" s="52" t="n">
        <f aca="false">SUM(D245:K245)</f>
        <v>4.062</v>
      </c>
    </row>
    <row r="246" customFormat="false" ht="15" hidden="false" customHeight="false" outlineLevel="0" collapsed="false">
      <c r="A246" s="47" t="n">
        <v>38</v>
      </c>
      <c r="B246" s="21" t="s">
        <v>421</v>
      </c>
      <c r="C246" s="11" t="s">
        <v>422</v>
      </c>
      <c r="D246" s="27" t="n">
        <f aca="false">D243*Assumptions!$F$58*Assumptions!$F$59</f>
        <v>2.29728571428572</v>
      </c>
      <c r="E246" s="27" t="n">
        <f aca="false">E243*Assumptions!$F$58*Assumptions!$F$59</f>
        <v>7.14814285714286</v>
      </c>
      <c r="F246" s="27" t="n">
        <f aca="false">F243*Assumptions!$F$58*Assumptions!$F$59</f>
        <v>14.8088571428571</v>
      </c>
      <c r="G246" s="27" t="n">
        <f aca="false">G243*Assumptions!$F$58*Assumptions!$F$59</f>
        <v>22.9821428571429</v>
      </c>
      <c r="H246" s="27" t="n">
        <f aca="false">H243*Assumptions!$F$58*Assumptions!$F$59</f>
        <v>31.668</v>
      </c>
      <c r="I246" s="27" t="n">
        <f aca="false">I243*Assumptions!$F$58*Assumptions!$F$59</f>
        <v>38.142</v>
      </c>
      <c r="J246" s="27" t="n">
        <f aca="false">J243*Assumptions!$F$58*Assumptions!$F$59</f>
        <v>44.9577142857143</v>
      </c>
      <c r="K246" s="27" t="n">
        <f aca="false">K243*Assumptions!$F$58*Assumptions!$F$59</f>
        <v>49.2198571428571</v>
      </c>
      <c r="L246" s="52" t="n">
        <f aca="false">SUM(D246:K246)</f>
        <v>211.224</v>
      </c>
    </row>
    <row r="247" customFormat="false" ht="15" hidden="false" customHeight="false" outlineLevel="0" collapsed="false">
      <c r="A247" s="47" t="n">
        <v>39</v>
      </c>
      <c r="B247" s="21" t="s">
        <v>423</v>
      </c>
      <c r="C247" s="11" t="s">
        <v>338</v>
      </c>
      <c r="D247" s="38" t="n">
        <f aca="false">D246*Assumptions!$F$7/30*Assumptions!$F$60/100</f>
        <v>18.3782857142857</v>
      </c>
      <c r="E247" s="38" t="n">
        <f aca="false">E246*Assumptions!$F$7/30*Assumptions!$F$60/100</f>
        <v>57.1851428571429</v>
      </c>
      <c r="F247" s="38" t="n">
        <f aca="false">F246*Assumptions!$F$7/30*Assumptions!$F$60/100</f>
        <v>118.470857142857</v>
      </c>
      <c r="G247" s="38" t="n">
        <f aca="false">G246*Assumptions!$F$7/30*Assumptions!$F$60/100</f>
        <v>183.857142857143</v>
      </c>
      <c r="H247" s="38" t="n">
        <f aca="false">H246*Assumptions!$F$7/30*Assumptions!$F$60/100</f>
        <v>253.344</v>
      </c>
      <c r="I247" s="38" t="n">
        <f aca="false">I246*Assumptions!$F$7/30*Assumptions!$F$60/100</f>
        <v>305.136</v>
      </c>
      <c r="J247" s="38" t="n">
        <f aca="false">J246*Assumptions!$F$7/30*Assumptions!$F$60/100</f>
        <v>359.661714285714</v>
      </c>
      <c r="K247" s="38" t="n">
        <f aca="false">K246*Assumptions!$F$7/30*Assumptions!$F$60/100</f>
        <v>393.758857142857</v>
      </c>
      <c r="L247" s="55" t="n">
        <f aca="false">SUM(D247:K247)</f>
        <v>1689.792</v>
      </c>
    </row>
    <row r="248" customFormat="false" ht="15" hidden="false" customHeight="false" outlineLevel="0" collapsed="false">
      <c r="A248" s="47" t="n">
        <v>40</v>
      </c>
      <c r="B248" s="21" t="s">
        <v>424</v>
      </c>
      <c r="C248" s="11" t="s">
        <v>381</v>
      </c>
      <c r="D248" s="27" t="n">
        <f aca="false">N(C248)+D243*Assumptions!$F$61*Assumptions!$F$62</f>
        <v>0.0318085714285714</v>
      </c>
      <c r="E248" s="27" t="n">
        <f aca="false">N(D248)+E243*Assumptions!$F$61*Assumptions!$F$62</f>
        <v>0.130782857142857</v>
      </c>
      <c r="F248" s="27" t="n">
        <f aca="false">N(E248)+F243*Assumptions!$F$61*Assumptions!$F$62</f>
        <v>0.335828571428572</v>
      </c>
      <c r="G248" s="27" t="n">
        <f aca="false">N(F248)+G243*Assumptions!$F$61*Assumptions!$F$62</f>
        <v>0.654042857142857</v>
      </c>
      <c r="H248" s="27" t="n">
        <f aca="false">N(G248)+H243*Assumptions!$F$61*Assumptions!$F$62</f>
        <v>1.09252285714286</v>
      </c>
      <c r="I248" s="27" t="n">
        <f aca="false">N(H248)+I243*Assumptions!$F$61*Assumptions!$F$62</f>
        <v>1.62064285714286</v>
      </c>
      <c r="J248" s="27" t="n">
        <f aca="false">N(I248)+J243*Assumptions!$F$61*Assumptions!$F$62</f>
        <v>2.24313428571429</v>
      </c>
      <c r="K248" s="27" t="n">
        <f aca="false">N(J248)+K243*Assumptions!$F$61*Assumptions!$F$62</f>
        <v>2.92464</v>
      </c>
      <c r="L248" s="49" t="n">
        <f aca="false">K248</f>
        <v>2.92464</v>
      </c>
    </row>
    <row r="249" customFormat="false" ht="15" hidden="false" customHeight="false" outlineLevel="0" collapsed="false">
      <c r="A249" s="47" t="n">
        <v>41</v>
      </c>
      <c r="B249" s="21" t="s">
        <v>425</v>
      </c>
      <c r="C249" s="11" t="s">
        <v>338</v>
      </c>
      <c r="D249" s="38" t="n">
        <f aca="false">D248*Assumptions!$F$7*3/100</f>
        <v>76.3405714285715</v>
      </c>
      <c r="E249" s="38" t="n">
        <f aca="false">E248*Assumptions!$F$7*3/100</f>
        <v>313.878857142857</v>
      </c>
      <c r="F249" s="38" t="n">
        <f aca="false">F248*Assumptions!$F$7*3/100</f>
        <v>805.988571428572</v>
      </c>
      <c r="G249" s="38" t="n">
        <f aca="false">G248*Assumptions!$F$7*3/100</f>
        <v>1569.70285714286</v>
      </c>
      <c r="H249" s="38" t="n">
        <f aca="false">H248*Assumptions!$F$7*3/100</f>
        <v>2622.05485714286</v>
      </c>
      <c r="I249" s="38" t="n">
        <f aca="false">I248*Assumptions!$F$7*3/100</f>
        <v>3889.54285714286</v>
      </c>
      <c r="J249" s="38" t="n">
        <f aca="false">J248*Assumptions!$F$7*3/100</f>
        <v>5383.52228571429</v>
      </c>
      <c r="K249" s="38" t="n">
        <f aca="false">K248*Assumptions!$F$7*3/100</f>
        <v>7019.136</v>
      </c>
      <c r="L249" s="55" t="n">
        <f aca="false">SUM(D249:K249)</f>
        <v>21680.1668571429</v>
      </c>
    </row>
    <row r="250" customFormat="false" ht="15" hidden="false" customHeight="false" outlineLevel="0" collapsed="false">
      <c r="A250" s="47" t="n">
        <v>42</v>
      </c>
      <c r="B250" s="21" t="s">
        <v>426</v>
      </c>
      <c r="C250" s="11" t="s">
        <v>338</v>
      </c>
      <c r="D250" s="27" t="n">
        <f aca="false">D248*Assumptions!$F$8*3/100</f>
        <v>0.0954257142857143</v>
      </c>
      <c r="E250" s="27" t="n">
        <f aca="false">E248*Assumptions!$F$8*3/100</f>
        <v>0.392348571428572</v>
      </c>
      <c r="F250" s="27" t="n">
        <f aca="false">F248*Assumptions!$F$8*3/100</f>
        <v>1.00748571428571</v>
      </c>
      <c r="G250" s="27" t="n">
        <f aca="false">G248*Assumptions!$F$8*3/100</f>
        <v>1.96212857142857</v>
      </c>
      <c r="H250" s="27" t="n">
        <f aca="false">H248*Assumptions!$F$8*3/100</f>
        <v>3.27756857142857</v>
      </c>
      <c r="I250" s="27" t="n">
        <f aca="false">I248*Assumptions!$F$8*3/100</f>
        <v>4.86192857142857</v>
      </c>
      <c r="J250" s="27" t="n">
        <f aca="false">J248*Assumptions!$F$8*3/100</f>
        <v>6.72940285714286</v>
      </c>
      <c r="K250" s="27" t="n">
        <f aca="false">K248*Assumptions!$F$8*3/100</f>
        <v>8.77392</v>
      </c>
      <c r="L250" s="52" t="n">
        <f aca="false">SUM(D250:K250)</f>
        <v>27.1002085714286</v>
      </c>
    </row>
    <row r="251" customFormat="false" ht="15" hidden="false" customHeight="false" outlineLevel="0" collapsed="false">
      <c r="A251" s="47" t="n">
        <v>43</v>
      </c>
      <c r="B251" s="21" t="s">
        <v>427</v>
      </c>
      <c r="C251" s="11" t="s">
        <v>338</v>
      </c>
      <c r="D251" s="27" t="n">
        <f aca="false">(D247+D249)*Assumptions!$F$6</f>
        <v>0.0378875428571429</v>
      </c>
      <c r="E251" s="27" t="n">
        <f aca="false">(E247+E249)*Assumptions!$F$6</f>
        <v>0.1484256</v>
      </c>
      <c r="F251" s="27" t="n">
        <f aca="false">(F247+F249)*Assumptions!$F$6</f>
        <v>0.369783771428572</v>
      </c>
      <c r="G251" s="27" t="n">
        <f aca="false">(G247+G249)*Assumptions!$F$6</f>
        <v>0.701424</v>
      </c>
      <c r="H251" s="27" t="n">
        <f aca="false">(H247+H249)*Assumptions!$F$6</f>
        <v>1.15015954285714</v>
      </c>
      <c r="I251" s="27" t="n">
        <f aca="false">(I247+I249)*Assumptions!$F$6</f>
        <v>1.67787154285714</v>
      </c>
      <c r="J251" s="27" t="n">
        <f aca="false">(J247+J249)*Assumptions!$F$6</f>
        <v>2.2972736</v>
      </c>
      <c r="K251" s="27" t="n">
        <f aca="false">(K247+K249)*Assumptions!$F$6</f>
        <v>2.96515794285714</v>
      </c>
      <c r="L251" s="52" t="n">
        <f aca="false">SUM(D251:K251)</f>
        <v>9.34798354285715</v>
      </c>
    </row>
    <row r="252" customFormat="false" ht="15" hidden="false" customHeight="false" outlineLevel="0" collapsed="false">
      <c r="A252" s="47" t="n">
        <v>44</v>
      </c>
      <c r="B252" s="21" t="s">
        <v>428</v>
      </c>
      <c r="C252" s="11" t="s">
        <v>338</v>
      </c>
      <c r="D252" s="27" t="n">
        <f aca="false">D250+D251</f>
        <v>0.133313257142857</v>
      </c>
      <c r="E252" s="27" t="n">
        <f aca="false">E250+E251</f>
        <v>0.540774171428572</v>
      </c>
      <c r="F252" s="27" t="n">
        <f aca="false">F250+F251</f>
        <v>1.37726948571429</v>
      </c>
      <c r="G252" s="27" t="n">
        <f aca="false">G250+G251</f>
        <v>2.66355257142857</v>
      </c>
      <c r="H252" s="27" t="n">
        <f aca="false">H250+H251</f>
        <v>4.42772811428572</v>
      </c>
      <c r="I252" s="27" t="n">
        <f aca="false">I250+I251</f>
        <v>6.53980011428572</v>
      </c>
      <c r="J252" s="27" t="n">
        <f aca="false">J250+J251</f>
        <v>9.02667645714286</v>
      </c>
      <c r="K252" s="27" t="n">
        <f aca="false">K250+K251</f>
        <v>11.7390779428571</v>
      </c>
      <c r="L252" s="52" t="n">
        <f aca="false">SUM(D252:K252)</f>
        <v>36.4481921142857</v>
      </c>
    </row>
    <row r="253" customFormat="false" ht="15" hidden="false" customHeight="false" outlineLevel="0" collapsed="false">
      <c r="A253" s="47" t="n">
        <v>45</v>
      </c>
      <c r="B253" s="21" t="s">
        <v>429</v>
      </c>
      <c r="C253" s="11" t="s">
        <v>338</v>
      </c>
      <c r="D253" s="27" t="n">
        <f aca="false">D244*Assumptions!$F$54/100</f>
        <v>0.834975</v>
      </c>
      <c r="E253" s="27" t="n">
        <f aca="false">E244*Assumptions!$F$54/100</f>
        <v>2.598075</v>
      </c>
      <c r="F253" s="27" t="n">
        <f aca="false">F244*Assumptions!$F$54/100</f>
        <v>5.38245</v>
      </c>
      <c r="G253" s="27" t="n">
        <f aca="false">G244*Assumptions!$F$54/100</f>
        <v>8.353125</v>
      </c>
      <c r="H253" s="27" t="n">
        <f aca="false">H244*Assumptions!$F$54/100</f>
        <v>11.5101</v>
      </c>
      <c r="I253" s="27" t="n">
        <f aca="false">I244*Assumptions!$F$54/100</f>
        <v>13.86315</v>
      </c>
      <c r="J253" s="27" t="n">
        <f aca="false">J244*Assumptions!$F$54/100</f>
        <v>16.3404</v>
      </c>
      <c r="K253" s="27" t="n">
        <f aca="false">K244*Assumptions!$F$54/100</f>
        <v>17.889525</v>
      </c>
      <c r="L253" s="52" t="n">
        <f aca="false">SUM(D253:K253)</f>
        <v>76.7718</v>
      </c>
    </row>
    <row r="254" customFormat="false" ht="15" hidden="false" customHeight="false" outlineLevel="0" collapsed="false">
      <c r="A254" s="47" t="n">
        <v>46</v>
      </c>
      <c r="B254" s="21" t="s">
        <v>430</v>
      </c>
      <c r="C254" s="11" t="s">
        <v>338</v>
      </c>
      <c r="D254" s="27" t="n">
        <f aca="false">D245*Assumptions!$F$57/100</f>
        <v>0.662678571428572</v>
      </c>
      <c r="E254" s="27" t="n">
        <f aca="false">E245*Assumptions!$F$57/100</f>
        <v>2.06196428571429</v>
      </c>
      <c r="F254" s="27" t="n">
        <f aca="false">F245*Assumptions!$F$57/100</f>
        <v>4.27178571428571</v>
      </c>
      <c r="G254" s="27" t="n">
        <f aca="false">G245*Assumptions!$F$57/100</f>
        <v>6.62946428571429</v>
      </c>
      <c r="H254" s="27" t="n">
        <f aca="false">H245*Assumptions!$F$57/100</f>
        <v>9.135</v>
      </c>
      <c r="I254" s="27" t="n">
        <f aca="false">I245*Assumptions!$F$57/100</f>
        <v>11.0025</v>
      </c>
      <c r="J254" s="27" t="n">
        <f aca="false">J245*Assumptions!$F$57/100</f>
        <v>12.9685714285714</v>
      </c>
      <c r="K254" s="27" t="n">
        <f aca="false">K245*Assumptions!$F$57/100</f>
        <v>14.1980357142857</v>
      </c>
      <c r="L254" s="52" t="n">
        <f aca="false">SUM(D254:K254)</f>
        <v>60.93</v>
      </c>
    </row>
    <row r="255" customFormat="false" ht="15" hidden="false" customHeight="false" outlineLevel="0" collapsed="false">
      <c r="A255" s="47" t="n">
        <v>47</v>
      </c>
      <c r="B255" s="21" t="s">
        <v>431</v>
      </c>
      <c r="C255" s="11" t="s">
        <v>338</v>
      </c>
      <c r="D255" s="27" t="n">
        <f aca="false">D253+D254</f>
        <v>1.49765357142857</v>
      </c>
      <c r="E255" s="27" t="n">
        <f aca="false">E253+E254</f>
        <v>4.66003928571429</v>
      </c>
      <c r="F255" s="27" t="n">
        <f aca="false">F253+F254</f>
        <v>9.65423571428572</v>
      </c>
      <c r="G255" s="27" t="n">
        <f aca="false">G253+G254</f>
        <v>14.9825892857143</v>
      </c>
      <c r="H255" s="27" t="n">
        <f aca="false">H253+H254</f>
        <v>20.6451</v>
      </c>
      <c r="I255" s="27" t="n">
        <f aca="false">I253+I254</f>
        <v>24.86565</v>
      </c>
      <c r="J255" s="27" t="n">
        <f aca="false">J253+J254</f>
        <v>29.3089714285714</v>
      </c>
      <c r="K255" s="27" t="n">
        <f aca="false">K253+K254</f>
        <v>32.0875607142857</v>
      </c>
      <c r="L255" s="52" t="n">
        <f aca="false">SUM(D255:K255)</f>
        <v>137.7018</v>
      </c>
    </row>
    <row r="256" customFormat="false" ht="15" hidden="false" customHeight="false" outlineLevel="0" collapsed="false">
      <c r="A256" s="47" t="n">
        <v>48</v>
      </c>
      <c r="B256" s="21" t="s">
        <v>432</v>
      </c>
      <c r="C256" s="11" t="s">
        <v>338</v>
      </c>
      <c r="D256" s="27" t="n">
        <f aca="false">D242*Assumptions!$F$63*3/100+D243*Assumptions!$F$64/100</f>
        <v>0.176714285714286</v>
      </c>
      <c r="E256" s="27" t="n">
        <f aca="false">E242*Assumptions!$F$63*3/100+E243*Assumptions!$F$64/100</f>
        <v>0.549857142857143</v>
      </c>
      <c r="F256" s="27" t="n">
        <f aca="false">F242*Assumptions!$F$63*3/100+F243*Assumptions!$F$64/100</f>
        <v>1.13914285714286</v>
      </c>
      <c r="G256" s="27" t="n">
        <f aca="false">G242*Assumptions!$F$63*3/100+G243*Assumptions!$F$64/100</f>
        <v>1.76785714285714</v>
      </c>
      <c r="H256" s="27" t="n">
        <f aca="false">H242*Assumptions!$F$63*3/100+H243*Assumptions!$F$64/100</f>
        <v>2.436</v>
      </c>
      <c r="I256" s="27" t="n">
        <f aca="false">I242*Assumptions!$F$63*3/100+I243*Assumptions!$F$64/100</f>
        <v>2.934</v>
      </c>
      <c r="J256" s="27" t="n">
        <f aca="false">J242*Assumptions!$F$63*3/100+J243*Assumptions!$F$64/100</f>
        <v>3.45828571428571</v>
      </c>
      <c r="K256" s="27" t="n">
        <f aca="false">K242*Assumptions!$F$63*3/100+K243*Assumptions!$F$64/100</f>
        <v>3.78614285714286</v>
      </c>
      <c r="L256" s="52" t="n">
        <f aca="false">SUM(D256:K256)</f>
        <v>16.248</v>
      </c>
    </row>
    <row r="257" customFormat="false" ht="15" hidden="false" customHeight="false" outlineLevel="0" collapsed="false">
      <c r="A257" s="47" t="n">
        <v>49</v>
      </c>
      <c r="B257" s="19" t="s">
        <v>433</v>
      </c>
      <c r="C257" s="11" t="s">
        <v>338</v>
      </c>
      <c r="D257" s="52" t="n">
        <f aca="false">D252+D255-D256</f>
        <v>1.45425254285714</v>
      </c>
      <c r="E257" s="52" t="n">
        <f aca="false">E252+E255-E256</f>
        <v>4.65095631428572</v>
      </c>
      <c r="F257" s="52" t="n">
        <f aca="false">F252+F255-F256</f>
        <v>9.89236234285714</v>
      </c>
      <c r="G257" s="52" t="n">
        <f aca="false">G252+G255-G256</f>
        <v>15.8782847142857</v>
      </c>
      <c r="H257" s="52" t="n">
        <f aca="false">H252+H255-H256</f>
        <v>22.6368281142857</v>
      </c>
      <c r="I257" s="52" t="n">
        <f aca="false">I252+I255-I256</f>
        <v>28.4714501142857</v>
      </c>
      <c r="J257" s="52" t="n">
        <f aca="false">J252+J255-J256</f>
        <v>34.8773621714286</v>
      </c>
      <c r="K257" s="52" t="n">
        <f aca="false">K252+K255-K256</f>
        <v>40.0404958</v>
      </c>
      <c r="L257" s="52" t="n">
        <f aca="false">SUM(D257:K257)</f>
        <v>157.901992114286</v>
      </c>
    </row>
    <row r="258" customFormat="false" ht="15" hidden="false" customHeight="false" outlineLevel="0" collapsed="false">
      <c r="A258" s="45"/>
      <c r="B258" s="46" t="s">
        <v>434</v>
      </c>
      <c r="C258" s="45"/>
      <c r="D258" s="45"/>
      <c r="E258" s="45"/>
      <c r="F258" s="45"/>
      <c r="G258" s="45"/>
      <c r="H258" s="45"/>
      <c r="I258" s="45"/>
      <c r="J258" s="45"/>
      <c r="K258" s="45"/>
      <c r="L258" s="45"/>
    </row>
    <row r="259" customFormat="false" ht="15" hidden="false" customHeight="false" outlineLevel="0" collapsed="false">
      <c r="A259" s="47" t="n">
        <v>50</v>
      </c>
      <c r="B259" s="21" t="s">
        <v>435</v>
      </c>
      <c r="C259" s="11" t="s">
        <v>256</v>
      </c>
      <c r="D259" s="50" t="n">
        <f aca="false">Assumptions!D$81</f>
        <v>0</v>
      </c>
      <c r="E259" s="50" t="n">
        <f aca="false">Assumptions!E$81</f>
        <v>0.05</v>
      </c>
      <c r="F259" s="50" t="n">
        <f aca="false">Assumptions!F$81</f>
        <v>0.15</v>
      </c>
      <c r="G259" s="50" t="n">
        <f aca="false">Assumptions!G$81</f>
        <v>0.25</v>
      </c>
      <c r="H259" s="50" t="n">
        <f aca="false">Assumptions!H$81</f>
        <v>0.35</v>
      </c>
      <c r="I259" s="50" t="n">
        <f aca="false">Assumptions!I$81</f>
        <v>0.45</v>
      </c>
      <c r="J259" s="50" t="n">
        <f aca="false">Assumptions!J$81</f>
        <v>0.55</v>
      </c>
      <c r="K259" s="50" t="n">
        <f aca="false">Assumptions!K$81</f>
        <v>0.6</v>
      </c>
      <c r="L259" s="51" t="n">
        <f aca="false">K259</f>
        <v>0.6</v>
      </c>
    </row>
    <row r="260" customFormat="false" ht="15" hidden="false" customHeight="false" outlineLevel="0" collapsed="false">
      <c r="A260" s="47" t="n">
        <v>51</v>
      </c>
      <c r="B260" s="21" t="s">
        <v>436</v>
      </c>
      <c r="C260" s="11" t="s">
        <v>381</v>
      </c>
      <c r="D260" s="27" t="n">
        <f aca="false">D206*Assumptions!$F$67*D259*Assumptions!$F$68</f>
        <v>0</v>
      </c>
      <c r="E260" s="27" t="n">
        <f aca="false">E206*Assumptions!$F$67*E259*Assumptions!$F$68</f>
        <v>0.549857142857143</v>
      </c>
      <c r="F260" s="27" t="n">
        <f aca="false">F206*Assumptions!$F$67*F259*Assumptions!$F$68</f>
        <v>1.70871428571429</v>
      </c>
      <c r="G260" s="27" t="n">
        <f aca="false">G206*Assumptions!$F$67*G259*Assumptions!$F$68</f>
        <v>2.94642857142857</v>
      </c>
      <c r="H260" s="27" t="n">
        <f aca="false">H206*Assumptions!$F$67*H259*Assumptions!$F$68</f>
        <v>4.263</v>
      </c>
      <c r="I260" s="27" t="n">
        <f aca="false">I206*Assumptions!$F$67*I259*Assumptions!$F$68</f>
        <v>5.65842857142857</v>
      </c>
      <c r="J260" s="27" t="n">
        <f aca="false">J206*Assumptions!$F$67*J259*Assumptions!$F$68</f>
        <v>7.13271428571429</v>
      </c>
      <c r="K260" s="27" t="n">
        <f aca="false">K206*Assumptions!$F$67*K259*Assumptions!$F$68</f>
        <v>8.01771428571429</v>
      </c>
      <c r="L260" s="49" t="n">
        <f aca="false">K260</f>
        <v>8.01771428571429</v>
      </c>
    </row>
    <row r="261" customFormat="false" ht="15" hidden="false" customHeight="false" outlineLevel="0" collapsed="false">
      <c r="A261" s="47" t="n">
        <v>52</v>
      </c>
      <c r="B261" s="21" t="s">
        <v>437</v>
      </c>
      <c r="C261" s="11" t="s">
        <v>381</v>
      </c>
      <c r="D261" s="27" t="n">
        <f aca="false">D260*Assumptions!$F$69*3</f>
        <v>0</v>
      </c>
      <c r="E261" s="27" t="n">
        <f aca="false">E260*Assumptions!$F$69*3</f>
        <v>9.89742857142858</v>
      </c>
      <c r="F261" s="27" t="n">
        <f aca="false">F260*Assumptions!$F$69*3</f>
        <v>30.7568571428571</v>
      </c>
      <c r="G261" s="27" t="n">
        <f aca="false">G260*Assumptions!$F$69*3</f>
        <v>53.0357142857143</v>
      </c>
      <c r="H261" s="27" t="n">
        <f aca="false">H260*Assumptions!$F$69*3</f>
        <v>76.734</v>
      </c>
      <c r="I261" s="27" t="n">
        <f aca="false">I260*Assumptions!$F$69*3</f>
        <v>101.851714285714</v>
      </c>
      <c r="J261" s="27" t="n">
        <f aca="false">J260*Assumptions!$F$69*3</f>
        <v>128.388857142857</v>
      </c>
      <c r="K261" s="27" t="n">
        <f aca="false">K260*Assumptions!$F$69*3</f>
        <v>144.318857142857</v>
      </c>
      <c r="L261" s="52" t="n">
        <f aca="false">SUM(D261:K261)</f>
        <v>544.983428571429</v>
      </c>
    </row>
    <row r="262" customFormat="false" ht="15" hidden="false" customHeight="false" outlineLevel="0" collapsed="false">
      <c r="A262" s="47" t="n">
        <v>53</v>
      </c>
      <c r="B262" s="21" t="s">
        <v>438</v>
      </c>
      <c r="C262" s="11" t="s">
        <v>338</v>
      </c>
      <c r="D262" s="38" t="n">
        <f aca="false">D261*Assumptions!$F$70/100*Assumptions!$F$71</f>
        <v>0</v>
      </c>
      <c r="E262" s="38" t="n">
        <f aca="false">E261*Assumptions!$F$70/100*Assumptions!$F$71</f>
        <v>24.2487</v>
      </c>
      <c r="F262" s="38" t="n">
        <f aca="false">F261*Assumptions!$F$70/100*Assumptions!$F$71</f>
        <v>75.3543</v>
      </c>
      <c r="G262" s="38" t="n">
        <f aca="false">G261*Assumptions!$F$70/100*Assumptions!$F$71</f>
        <v>129.9375</v>
      </c>
      <c r="H262" s="38" t="n">
        <f aca="false">H261*Assumptions!$F$70/100*Assumptions!$F$71</f>
        <v>187.9983</v>
      </c>
      <c r="I262" s="38" t="n">
        <f aca="false">I261*Assumptions!$F$70/100*Assumptions!$F$71</f>
        <v>249.5367</v>
      </c>
      <c r="J262" s="38" t="n">
        <f aca="false">J261*Assumptions!$F$70/100*Assumptions!$F$71</f>
        <v>314.5527</v>
      </c>
      <c r="K262" s="38" t="n">
        <f aca="false">K261*Assumptions!$F$70/100*Assumptions!$F$71</f>
        <v>353.5812</v>
      </c>
      <c r="L262" s="55" t="n">
        <f aca="false">SUM(D262:K262)</f>
        <v>1335.2094</v>
      </c>
    </row>
    <row r="263" customFormat="false" ht="15" hidden="false" customHeight="false" outlineLevel="0" collapsed="false">
      <c r="A263" s="47" t="n">
        <v>54</v>
      </c>
      <c r="B263" s="21" t="s">
        <v>439</v>
      </c>
      <c r="C263" s="11" t="s">
        <v>338</v>
      </c>
      <c r="D263" s="27" t="n">
        <f aca="false">D261*Assumptions!$F$72/100+D262*Assumptions!$F$6</f>
        <v>0</v>
      </c>
      <c r="E263" s="27" t="n">
        <f aca="false">E261*Assumptions!$F$72/100+E262*Assumptions!$F$6</f>
        <v>1.49431376571429</v>
      </c>
      <c r="F263" s="27" t="n">
        <f aca="false">F261*Assumptions!$F$72/100+F262*Assumptions!$F$6</f>
        <v>4.64367029142857</v>
      </c>
      <c r="G263" s="27" t="n">
        <f aca="false">G261*Assumptions!$F$72/100+G262*Assumptions!$F$6</f>
        <v>8.00733214285714</v>
      </c>
      <c r="H263" s="27" t="n">
        <f aca="false">H261*Assumptions!$F$72/100+H262*Assumptions!$F$6</f>
        <v>11.58529932</v>
      </c>
      <c r="I263" s="27" t="n">
        <f aca="false">I261*Assumptions!$F$72/100+I262*Assumptions!$F$6</f>
        <v>15.3775718228571</v>
      </c>
      <c r="J263" s="27" t="n">
        <f aca="false">J261*Assumptions!$F$72/100+J262*Assumptions!$F$6</f>
        <v>19.3841496514286</v>
      </c>
      <c r="K263" s="27" t="n">
        <f aca="false">K261*Assumptions!$F$72/100+K262*Assumptions!$F$6</f>
        <v>21.7892610514286</v>
      </c>
      <c r="L263" s="52" t="n">
        <f aca="false">SUM(D263:K263)</f>
        <v>82.2815980457143</v>
      </c>
    </row>
    <row r="264" customFormat="false" ht="15" hidden="false" customHeight="false" outlineLevel="0" collapsed="false">
      <c r="A264" s="47" t="n">
        <v>55</v>
      </c>
      <c r="B264" s="21" t="s">
        <v>440</v>
      </c>
      <c r="C264" s="11" t="s">
        <v>338</v>
      </c>
      <c r="D264" s="27" t="n">
        <f aca="false">D261*Assumptions!$F$73/100</f>
        <v>0</v>
      </c>
      <c r="E264" s="27" t="n">
        <f aca="false">E261*Assumptions!$F$73/100</f>
        <v>1.48461428571429</v>
      </c>
      <c r="F264" s="27" t="n">
        <f aca="false">F261*Assumptions!$F$73/100</f>
        <v>4.61352857142857</v>
      </c>
      <c r="G264" s="27" t="n">
        <f aca="false">G261*Assumptions!$F$73/100</f>
        <v>7.95535714285714</v>
      </c>
      <c r="H264" s="27" t="n">
        <f aca="false">H261*Assumptions!$F$73/100</f>
        <v>11.5101</v>
      </c>
      <c r="I264" s="27" t="n">
        <f aca="false">I261*Assumptions!$F$73/100</f>
        <v>15.2777571428571</v>
      </c>
      <c r="J264" s="27" t="n">
        <f aca="false">J261*Assumptions!$F$73/100</f>
        <v>19.2583285714286</v>
      </c>
      <c r="K264" s="27" t="n">
        <f aca="false">K261*Assumptions!$F$73/100</f>
        <v>21.6478285714286</v>
      </c>
      <c r="L264" s="52" t="n">
        <f aca="false">SUM(D264:K264)</f>
        <v>81.7475142857143</v>
      </c>
    </row>
    <row r="265" customFormat="false" ht="15" hidden="false" customHeight="false" outlineLevel="0" collapsed="false">
      <c r="A265" s="47" t="n">
        <v>56</v>
      </c>
      <c r="B265" s="21" t="s">
        <v>441</v>
      </c>
      <c r="C265" s="11" t="s">
        <v>338</v>
      </c>
      <c r="D265" s="27" t="n">
        <f aca="false">D260*Assumptions!$F$74*3/100+D261*Assumptions!$F$75/100</f>
        <v>0</v>
      </c>
      <c r="E265" s="27" t="n">
        <f aca="false">E260*Assumptions!$F$74*3/100+E261*Assumptions!$F$75/100</f>
        <v>0.11547</v>
      </c>
      <c r="F265" s="27" t="n">
        <f aca="false">F260*Assumptions!$F$74*3/100+F261*Assumptions!$F$75/100</f>
        <v>0.35883</v>
      </c>
      <c r="G265" s="27" t="n">
        <f aca="false">G260*Assumptions!$F$74*3/100+G261*Assumptions!$F$75/100</f>
        <v>0.61875</v>
      </c>
      <c r="H265" s="27" t="n">
        <f aca="false">H260*Assumptions!$F$74*3/100+H261*Assumptions!$F$75/100</f>
        <v>0.89523</v>
      </c>
      <c r="I265" s="27" t="n">
        <f aca="false">I260*Assumptions!$F$74*3/100+I261*Assumptions!$F$75/100</f>
        <v>1.18827</v>
      </c>
      <c r="J265" s="27" t="n">
        <f aca="false">J260*Assumptions!$F$74*3/100+J261*Assumptions!$F$75/100</f>
        <v>1.49787</v>
      </c>
      <c r="K265" s="27" t="n">
        <f aca="false">K260*Assumptions!$F$74*3/100+K261*Assumptions!$F$75/100</f>
        <v>1.68372</v>
      </c>
      <c r="L265" s="52" t="n">
        <f aca="false">SUM(D265:K265)</f>
        <v>6.35814</v>
      </c>
    </row>
    <row r="266" customFormat="false" ht="15" hidden="false" customHeight="false" outlineLevel="0" collapsed="false">
      <c r="A266" s="47" t="n">
        <v>57</v>
      </c>
      <c r="B266" s="21" t="s">
        <v>442</v>
      </c>
      <c r="C266" s="11" t="s">
        <v>338</v>
      </c>
      <c r="D266" s="27" t="n">
        <f aca="false">D263+D264-D265</f>
        <v>0</v>
      </c>
      <c r="E266" s="27" t="n">
        <f aca="false">E263+E264-E265</f>
        <v>2.86345805142857</v>
      </c>
      <c r="F266" s="27" t="n">
        <f aca="false">F263+F264-F265</f>
        <v>8.89836886285714</v>
      </c>
      <c r="G266" s="27" t="n">
        <f aca="false">G263+G264-G265</f>
        <v>15.3439392857143</v>
      </c>
      <c r="H266" s="27" t="n">
        <f aca="false">H263+H264-H265</f>
        <v>22.20016932</v>
      </c>
      <c r="I266" s="27" t="n">
        <f aca="false">I263+I264-I265</f>
        <v>29.4670589657143</v>
      </c>
      <c r="J266" s="27" t="n">
        <f aca="false">J263+J264-J265</f>
        <v>37.1446082228571</v>
      </c>
      <c r="K266" s="27" t="n">
        <f aca="false">K263+K264-K265</f>
        <v>41.7533696228571</v>
      </c>
      <c r="L266" s="52" t="n">
        <f aca="false">SUM(D266:K266)</f>
        <v>157.670972331429</v>
      </c>
    </row>
    <row r="267" customFormat="false" ht="15" hidden="false" customHeight="false" outlineLevel="0" collapsed="false">
      <c r="A267" s="45"/>
      <c r="B267" s="46" t="s">
        <v>443</v>
      </c>
      <c r="C267" s="45"/>
      <c r="D267" s="45"/>
      <c r="E267" s="45"/>
      <c r="F267" s="45"/>
      <c r="G267" s="45"/>
      <c r="H267" s="45"/>
      <c r="I267" s="45"/>
      <c r="J267" s="45"/>
      <c r="K267" s="45"/>
      <c r="L267" s="45"/>
    </row>
    <row r="268" customFormat="false" ht="15" hidden="false" customHeight="false" outlineLevel="0" collapsed="false">
      <c r="A268" s="47" t="n">
        <v>58</v>
      </c>
      <c r="B268" s="19" t="s">
        <v>444</v>
      </c>
      <c r="C268" s="11" t="s">
        <v>338</v>
      </c>
      <c r="D268" s="54" t="n">
        <f aca="false">D214+D215+D247+D249+D262*Assumptions!$F$66</f>
        <v>1010.50750892857</v>
      </c>
      <c r="E268" s="54" t="n">
        <f aca="false">E214+E215+E247+E249+E262*Assumptions!$F$66</f>
        <v>3220.59554464286</v>
      </c>
      <c r="F268" s="54" t="n">
        <f aca="false">F214+F215+F247+F249+F262*Assumptions!$F$66</f>
        <v>6827.85369642857</v>
      </c>
      <c r="G268" s="54" t="n">
        <f aca="false">G214+G215+G247+G249+G262*Assumptions!$F$66</f>
        <v>11933.1024107143</v>
      </c>
      <c r="H268" s="54" t="n">
        <f aca="false">H214+H215+H247+H249+H262*Assumptions!$F$66</f>
        <v>18655.5404196429</v>
      </c>
      <c r="I268" s="54" t="n">
        <f aca="false">I214+I215+I247+I249+I262*Assumptions!$F$66</f>
        <v>25915.9715357143</v>
      </c>
      <c r="J268" s="54" t="n">
        <f aca="false">J214+J215+J247+J249+J262*Assumptions!$F$66</f>
        <v>33746.1797589286</v>
      </c>
      <c r="K268" s="54" t="n">
        <f aca="false">K214+K215+K247+K249+K262*Assumptions!$F$66</f>
        <v>42038.1456607143</v>
      </c>
      <c r="L268" s="54" t="n">
        <f aca="false">SUM(D268:K268)</f>
        <v>143347.896535714</v>
      </c>
    </row>
    <row r="269" customFormat="false" ht="15" hidden="false" customHeight="false" outlineLevel="0" collapsed="false">
      <c r="A269" s="47" t="n">
        <v>59</v>
      </c>
      <c r="B269" s="21" t="s">
        <v>444</v>
      </c>
      <c r="C269" s="11" t="s">
        <v>445</v>
      </c>
      <c r="D269" s="56" t="n">
        <f aca="false">D268/100000</f>
        <v>0.0101050750892857</v>
      </c>
      <c r="E269" s="56" t="n">
        <f aca="false">E268/100000</f>
        <v>0.0322059554464286</v>
      </c>
      <c r="F269" s="56" t="n">
        <f aca="false">F268/100000</f>
        <v>0.0682785369642857</v>
      </c>
      <c r="G269" s="56" t="n">
        <f aca="false">G268/100000</f>
        <v>0.119331024107143</v>
      </c>
      <c r="H269" s="56" t="n">
        <f aca="false">H268/100000</f>
        <v>0.186555404196429</v>
      </c>
      <c r="I269" s="56" t="n">
        <f aca="false">I268/100000</f>
        <v>0.259159715357143</v>
      </c>
      <c r="J269" s="56" t="n">
        <f aca="false">J268/100000</f>
        <v>0.337461797589286</v>
      </c>
      <c r="K269" s="56" t="n">
        <f aca="false">K268/100000</f>
        <v>0.420381456607143</v>
      </c>
      <c r="L269" s="57" t="n">
        <f aca="false">SUM(D269:K269)</f>
        <v>1.43347896535714</v>
      </c>
    </row>
    <row r="270" customFormat="false" ht="15" hidden="false" customHeight="false" outlineLevel="0" collapsed="false">
      <c r="A270" s="47" t="n">
        <v>60</v>
      </c>
      <c r="B270" s="21" t="s">
        <v>446</v>
      </c>
      <c r="C270" s="11" t="s">
        <v>445</v>
      </c>
      <c r="D270" s="48" t="n">
        <f aca="false">Baseline!E15</f>
        <v>7.94869047619048</v>
      </c>
      <c r="E270" s="48" t="n">
        <f aca="false">Baseline!E16</f>
        <v>8.29714285714286</v>
      </c>
      <c r="F270" s="48" t="n">
        <f aca="false">Baseline!E17</f>
        <v>8.64559523809524</v>
      </c>
      <c r="G270" s="48" t="n">
        <f aca="false">Baseline!E18</f>
        <v>8.99404761904762</v>
      </c>
      <c r="H270" s="48" t="n">
        <f aca="false">Baseline!E19</f>
        <v>9.3425</v>
      </c>
      <c r="I270" s="48" t="n">
        <f aca="false">Baseline!E20</f>
        <v>9.69095238095238</v>
      </c>
      <c r="J270" s="48" t="n">
        <f aca="false">Baseline!E21</f>
        <v>10.0394047619048</v>
      </c>
      <c r="K270" s="48" t="n">
        <f aca="false">Baseline!E22</f>
        <v>10.3878571428571</v>
      </c>
      <c r="L270" s="52" t="n">
        <f aca="false">SUM(D270:K270)</f>
        <v>73.3461904761905</v>
      </c>
    </row>
    <row r="271" customFormat="false" ht="15" hidden="false" customHeight="false" outlineLevel="0" collapsed="false">
      <c r="A271" s="47" t="n">
        <v>61</v>
      </c>
      <c r="B271" s="21" t="s">
        <v>447</v>
      </c>
      <c r="C271" s="11" t="s">
        <v>448</v>
      </c>
      <c r="D271" s="58" t="n">
        <f aca="false">IF(D270&gt;0,D269/D270,0)</f>
        <v>0.00127128803411763</v>
      </c>
      <c r="E271" s="58" t="n">
        <f aca="false">IF(E270&gt;0,E269/E270,0)</f>
        <v>0.0038815717652376</v>
      </c>
      <c r="F271" s="58" t="n">
        <f aca="false">IF(F270&gt;0,F269/F270,0)</f>
        <v>0.0078974940514713</v>
      </c>
      <c r="G271" s="58" t="n">
        <f aca="false">IF(G270&gt;0,G269/G270,0)</f>
        <v>0.0132677776637988</v>
      </c>
      <c r="H271" s="58" t="n">
        <f aca="false">IF(H270&gt;0,H269/H270,0)</f>
        <v>0.0199684671336825</v>
      </c>
      <c r="I271" s="58" t="n">
        <f aca="false">IF(I270&gt;0,I269/I270,0)</f>
        <v>0.0267424402854897</v>
      </c>
      <c r="J271" s="58" t="n">
        <f aca="false">IF(J270&gt;0,J269/J270,0)</f>
        <v>0.03361372567324</v>
      </c>
      <c r="K271" s="58" t="n">
        <f aca="false">IF(K270&gt;0,K269/K270,0)</f>
        <v>0.0404685442652823</v>
      </c>
      <c r="L271" s="59" t="n">
        <f aca="false">IF(L270&gt;0,L269/L270,0)</f>
        <v>0.0195440138887987</v>
      </c>
    </row>
    <row r="272" customFormat="false" ht="15" hidden="false" customHeight="false" outlineLevel="0" collapsed="false">
      <c r="A272" s="47" t="n">
        <v>62</v>
      </c>
      <c r="B272" s="21" t="s">
        <v>449</v>
      </c>
      <c r="C272" s="11" t="s">
        <v>338</v>
      </c>
      <c r="D272" s="27" t="n">
        <f aca="false">D231+D252+D263*Assumptions!$F$66</f>
        <v>3.84480943772321</v>
      </c>
      <c r="E272" s="27" t="n">
        <f aca="false">E231+E252+E263*Assumptions!$F$66</f>
        <v>12.0893180671875</v>
      </c>
      <c r="F272" s="27" t="n">
        <f aca="false">F231+F252+F263*Assumptions!$F$66</f>
        <v>25.3024679852679</v>
      </c>
      <c r="G272" s="27" t="n">
        <f aca="false">G231+G252+G263*Assumptions!$F$66</f>
        <v>43.9190679174107</v>
      </c>
      <c r="H272" s="27" t="n">
        <f aca="false">H231+H252+H263*Assumptions!$F$66</f>
        <v>68.3812779033482</v>
      </c>
      <c r="I272" s="27" t="n">
        <f aca="false">I231+I252+I263*Assumptions!$F$66</f>
        <v>94.5715688598214</v>
      </c>
      <c r="J272" s="27" t="n">
        <f aca="false">J231+J252+J263*Assumptions!$F$66</f>
        <v>122.516848672545</v>
      </c>
      <c r="K272" s="27" t="n">
        <f aca="false">K231+K252+K263*Assumptions!$F$66</f>
        <v>152.067838141518</v>
      </c>
      <c r="L272" s="52" t="n">
        <f aca="false">SUM(D272:K272)</f>
        <v>522.693196984821</v>
      </c>
    </row>
    <row r="273" customFormat="false" ht="15" hidden="false" customHeight="false" outlineLevel="0" collapsed="false">
      <c r="A273" s="47" t="n">
        <v>63</v>
      </c>
      <c r="B273" s="21" t="s">
        <v>441</v>
      </c>
      <c r="C273" s="11" t="s">
        <v>338</v>
      </c>
      <c r="D273" s="27" t="n">
        <f aca="false">D237+D256+D265*Assumptions!$F$66</f>
        <v>0.785674475446429</v>
      </c>
      <c r="E273" s="27" t="n">
        <f aca="false">E237+E256+E265*Assumptions!$F$66</f>
        <v>2.04706630580357</v>
      </c>
      <c r="F273" s="27" t="n">
        <f aca="false">F237+F256+F265*Assumptions!$F$66</f>
        <v>3.82746837053571</v>
      </c>
      <c r="G273" s="27" t="n">
        <f aca="false">G237+G256+G265*Assumptions!$F$66</f>
        <v>5.97374497767857</v>
      </c>
      <c r="H273" s="27" t="n">
        <f aca="false">H237+H256+H265*Assumptions!$F$66</f>
        <v>8.50947472098214</v>
      </c>
      <c r="I273" s="27" t="n">
        <f aca="false">I237+I256+I265*Assumptions!$F$66</f>
        <v>10.5264783482143</v>
      </c>
      <c r="J273" s="27" t="n">
        <f aca="false">J237+J256+J265*Assumptions!$F$66</f>
        <v>12.6483630022321</v>
      </c>
      <c r="K273" s="27" t="n">
        <f aca="false">K237+K256+K265*Assumptions!$F$66</f>
        <v>14.6524143973214</v>
      </c>
      <c r="L273" s="52" t="n">
        <f aca="false">SUM(D273:K273)</f>
        <v>58.9706845982143</v>
      </c>
    </row>
    <row r="274" customFormat="false" ht="15" hidden="false" customHeight="false" outlineLevel="0" collapsed="false">
      <c r="A274" s="47" t="n">
        <v>64</v>
      </c>
      <c r="B274" s="21" t="s">
        <v>450</v>
      </c>
      <c r="C274" s="11" t="s">
        <v>338</v>
      </c>
      <c r="D274" s="27" t="n">
        <f aca="false">D255+D264*Assumptions!$F$66</f>
        <v>1.49765357142857</v>
      </c>
      <c r="E274" s="27" t="n">
        <f aca="false">E255+E264*Assumptions!$F$66</f>
        <v>4.66003928571429</v>
      </c>
      <c r="F274" s="27" t="n">
        <f aca="false">F255+F264*Assumptions!$F$66</f>
        <v>9.65423571428572</v>
      </c>
      <c r="G274" s="27" t="n">
        <f aca="false">G255+G264*Assumptions!$F$66</f>
        <v>14.9825892857143</v>
      </c>
      <c r="H274" s="27" t="n">
        <f aca="false">H255+H264*Assumptions!$F$66</f>
        <v>20.6451</v>
      </c>
      <c r="I274" s="27" t="n">
        <f aca="false">I255+I264*Assumptions!$F$66</f>
        <v>24.86565</v>
      </c>
      <c r="J274" s="27" t="n">
        <f aca="false">J255+J264*Assumptions!$F$66</f>
        <v>29.3089714285714</v>
      </c>
      <c r="K274" s="27" t="n">
        <f aca="false">K255+K264*Assumptions!$F$66</f>
        <v>32.0875607142857</v>
      </c>
      <c r="L274" s="52" t="n">
        <f aca="false">SUM(D274:K274)</f>
        <v>137.7018</v>
      </c>
    </row>
    <row r="275" customFormat="false" ht="15" hidden="false" customHeight="false" outlineLevel="0" collapsed="false">
      <c r="A275" s="47" t="n">
        <v>65</v>
      </c>
      <c r="B275" s="19" t="s">
        <v>451</v>
      </c>
      <c r="C275" s="11" t="s">
        <v>338</v>
      </c>
      <c r="D275" s="52" t="n">
        <f aca="false">D272-D273+D274</f>
        <v>4.55678853370536</v>
      </c>
      <c r="E275" s="52" t="n">
        <f aca="false">E272-E273+E274</f>
        <v>14.7022910470982</v>
      </c>
      <c r="F275" s="52" t="n">
        <f aca="false">F272-F273+F274</f>
        <v>31.1292353290179</v>
      </c>
      <c r="G275" s="52" t="n">
        <f aca="false">G272-G273+G274</f>
        <v>52.9279122254464</v>
      </c>
      <c r="H275" s="52" t="n">
        <f aca="false">H272-H273+H274</f>
        <v>80.5169031823661</v>
      </c>
      <c r="I275" s="52" t="n">
        <f aca="false">I272-I273+I274</f>
        <v>108.910740511607</v>
      </c>
      <c r="J275" s="52" t="n">
        <f aca="false">J272-J273+J274</f>
        <v>139.177457098884</v>
      </c>
      <c r="K275" s="52" t="n">
        <f aca="false">K272-K273+K274</f>
        <v>169.502984458482</v>
      </c>
      <c r="L275" s="52" t="n">
        <f aca="false">SUM(D275:K275)</f>
        <v>601.424312386607</v>
      </c>
    </row>
    <row r="276" customFormat="false" ht="15" hidden="false" customHeight="false" outlineLevel="0" collapsed="false">
      <c r="A276" s="47" t="n">
        <v>66</v>
      </c>
      <c r="B276" s="19" t="s">
        <v>452</v>
      </c>
      <c r="C276" s="11" t="s">
        <v>448</v>
      </c>
      <c r="D276" s="60" t="n">
        <f aca="false">IF(D272&gt;0,(D272-D273)/D272,0)</f>
        <v>0.795653207740854</v>
      </c>
      <c r="E276" s="60" t="n">
        <f aca="false">IF(E272&gt;0,(E272-E273)/E272,0)</f>
        <v>0.83067148250821</v>
      </c>
      <c r="F276" s="60" t="n">
        <f aca="false">IF(F272&gt;0,(F272-F273)/F272,0)</f>
        <v>0.848731421268304</v>
      </c>
      <c r="G276" s="60" t="n">
        <f aca="false">IF(G272&gt;0,(G272-G273)/G272,0)</f>
        <v>0.863982883495794</v>
      </c>
      <c r="H276" s="60" t="n">
        <f aca="false">IF(H272&gt;0,(H272-H273)/H272,0)</f>
        <v>0.875558413327554</v>
      </c>
      <c r="I276" s="60" t="n">
        <f aca="false">IF(I272&gt;0,(I272-I273)/I272,0)</f>
        <v>0.888692992247838</v>
      </c>
      <c r="J276" s="60" t="n">
        <f aca="false">IF(J272&gt;0,(J272-J273)/J272,0)</f>
        <v>0.896762256462881</v>
      </c>
      <c r="K276" s="60" t="n">
        <f aca="false">IF(K272&gt;0,(K272-K273)/K272,0)</f>
        <v>0.903645540198411</v>
      </c>
      <c r="L276" s="60" t="n">
        <f aca="false">IF(L272&gt;0,(L272-L273)/L272,0)</f>
        <v>0.88717916181349</v>
      </c>
    </row>
    <row r="277" customFormat="false" ht="15" hidden="false" customHeight="false" outlineLevel="0" collapsed="false">
      <c r="A277" s="47" t="n">
        <v>67</v>
      </c>
      <c r="B277" s="21" t="s">
        <v>453</v>
      </c>
      <c r="C277" s="11" t="s">
        <v>448</v>
      </c>
      <c r="D277" s="26" t="n">
        <f aca="false">IF((D272+D274)&gt;0,D275/(D272+D274),0)</f>
        <v>0.85293777905424</v>
      </c>
      <c r="E277" s="26" t="n">
        <f aca="false">IF((E272+E274)&gt;0,E275/(E272+E274),0)</f>
        <v>0.877782397099019</v>
      </c>
      <c r="F277" s="26" t="n">
        <f aca="false">IF((F272+F274)&gt;0,F275/(F272+F274),0)</f>
        <v>0.890508315559954</v>
      </c>
      <c r="G277" s="26" t="n">
        <f aca="false">IF((G272+G274)&gt;0,G275/(G272+G274),0)</f>
        <v>0.898581037252011</v>
      </c>
      <c r="H277" s="26" t="n">
        <f aca="false">IF((H272+H274)&gt;0,H275/(H272+H274),0)</f>
        <v>0.904416253683594</v>
      </c>
      <c r="I277" s="26" t="n">
        <f aca="false">IF((I272+I274)&gt;0,I275/(I272+I274),0)</f>
        <v>0.911866012548661</v>
      </c>
      <c r="J277" s="26" t="n">
        <f aca="false">IF((J272+J274)&gt;0,J275/(J272+J274),0)</f>
        <v>0.916691620741397</v>
      </c>
      <c r="K277" s="26" t="n">
        <f aca="false">IF((K272+K274)&gt;0,K275/(K272+K274),0)</f>
        <v>0.920434510807937</v>
      </c>
      <c r="L277" s="60" t="n">
        <f aca="false">IF((L272+L274)&gt;0,L275/(L272+L274),0)</f>
        <v>0.910703919824563</v>
      </c>
    </row>
    <row r="278" customFormat="false" ht="15" hidden="false" customHeight="false" outlineLevel="0" collapsed="false">
      <c r="A278" s="47" t="n">
        <v>68</v>
      </c>
      <c r="B278" s="21" t="s">
        <v>454</v>
      </c>
      <c r="C278" s="11" t="s">
        <v>448</v>
      </c>
      <c r="D278" s="26" t="n">
        <f aca="false">IF(D231&gt;0,D238/D231,0)</f>
        <v>0.835925955435869</v>
      </c>
      <c r="E278" s="26" t="n">
        <f aca="false">IF(E231&gt;0,E238/E231,0)</f>
        <v>0.870355156766018</v>
      </c>
      <c r="F278" s="26" t="n">
        <f aca="false">IF(F231&gt;0,F238/F231,0)</f>
        <v>0.887636229499077</v>
      </c>
      <c r="G278" s="26" t="n">
        <f aca="false">IF(G231&gt;0,G238/G231,0)</f>
        <v>0.898052713690534</v>
      </c>
      <c r="H278" s="26" t="n">
        <f aca="false">IF(H231&gt;0,H238/H231,0)</f>
        <v>0.905033031926856</v>
      </c>
      <c r="I278" s="26" t="n">
        <f aca="false">IF(I231&gt;0,I238/I231,0)</f>
        <v>0.913752972859593</v>
      </c>
      <c r="J278" s="26" t="n">
        <f aca="false">IF(J231&gt;0,J238/J231,0)</f>
        <v>0.919023144396117</v>
      </c>
      <c r="K278" s="26" t="n">
        <f aca="false">IF(K231&gt;0,K238/K231,0)</f>
        <v>0.92256561288794</v>
      </c>
      <c r="L278" s="60" t="n">
        <f aca="false">IF(L231&gt;0,L238/L231,0)</f>
        <v>0.912137535254292</v>
      </c>
    </row>
    <row r="279" customFormat="false" ht="15" hidden="false" customHeight="false" outlineLevel="0" collapsed="false">
      <c r="A279" s="47" t="n">
        <v>69</v>
      </c>
      <c r="B279" s="21" t="s">
        <v>455</v>
      </c>
      <c r="C279" s="11" t="s">
        <v>456</v>
      </c>
      <c r="D279" s="38" t="n">
        <f aca="false">IF(D256&gt;0,(D255+D252)/D256,0)</f>
        <v>9.2294</v>
      </c>
      <c r="E279" s="38" t="n">
        <f aca="false">IF(E256&gt;0,(E255+E252)/E256,0)</f>
        <v>9.45848121590024</v>
      </c>
      <c r="F279" s="38" t="n">
        <f aca="false">IF(F256&gt;0,(F255+F252)/F256,0)</f>
        <v>9.68404018058691</v>
      </c>
      <c r="G279" s="38" t="n">
        <f aca="false">IF(G256&gt;0,(G255+G252)/G256,0)</f>
        <v>9.981656</v>
      </c>
      <c r="H279" s="38" t="n">
        <f aca="false">IF(H256&gt;0,(H255+H252)/H256,0)</f>
        <v>10.2926223786066</v>
      </c>
      <c r="I279" s="38" t="n">
        <f aca="false">IF(I256&gt;0,(I255+I252)/I256,0)</f>
        <v>10.7039707274321</v>
      </c>
      <c r="J279" s="38" t="n">
        <f aca="false">IF(J256&gt;0,(J255+J252)/J256,0)</f>
        <v>11.0851592531395</v>
      </c>
      <c r="K279" s="38" t="n">
        <f aca="false">IF(K256&gt;0,(K255+K252)/K256,0)</f>
        <v>11.5755375089613</v>
      </c>
      <c r="L279" s="55" t="n">
        <f aca="false">IF(L256&gt;0,(L255+L252)/L256,0)</f>
        <v>10.7182417598649</v>
      </c>
    </row>
    <row r="280" customFormat="false" ht="15" hidden="false" customHeight="false" outlineLevel="0" collapsed="false">
      <c r="A280" s="47" t="n">
        <v>70</v>
      </c>
      <c r="B280" s="21" t="s">
        <v>457</v>
      </c>
      <c r="C280" s="11" t="s">
        <v>448</v>
      </c>
      <c r="D280" s="26" t="n">
        <f aca="false">IF(D268&gt;0,D214/D268,0)</f>
        <v>0.877936016963046</v>
      </c>
      <c r="E280" s="26" t="n">
        <f aca="false">IF(E268&gt;0,E214/E268,0)</f>
        <v>0.857125537570759</v>
      </c>
      <c r="F280" s="26" t="n">
        <f aca="false">IF(F268&gt;0,F214/F268,0)</f>
        <v>0.837576986746413</v>
      </c>
      <c r="G280" s="26" t="n">
        <f aca="false">IF(G268&gt;0,G214/G268,0)</f>
        <v>0.82638427004078</v>
      </c>
      <c r="H280" s="26" t="n">
        <f aca="false">IF(H268&gt;0,H214/H268,0)</f>
        <v>0.819426895101045</v>
      </c>
      <c r="I280" s="26" t="n">
        <f aca="false">IF(I268&gt;0,I214/I268,0)</f>
        <v>0.811942597675802</v>
      </c>
      <c r="J280" s="26" t="n">
        <f aca="false">IF(J268&gt;0,J214/J268,0)</f>
        <v>0.80387224217054</v>
      </c>
      <c r="K280" s="26" t="n">
        <f aca="false">IF(K268&gt;0,K214/K268,0)</f>
        <v>0.797914818739178</v>
      </c>
      <c r="L280" s="60" t="n">
        <f aca="false">IF(L268&gt;0,L214/L268,0)</f>
        <v>0.810806499843147</v>
      </c>
    </row>
    <row r="281" customFormat="false" ht="15" hidden="false" customHeight="false" outlineLevel="0" collapsed="false">
      <c r="A281" s="47" t="n">
        <v>71</v>
      </c>
      <c r="B281" s="21" t="s">
        <v>458</v>
      </c>
      <c r="C281" s="11" t="s">
        <v>39</v>
      </c>
      <c r="D281" s="27" t="n">
        <f aca="false">IF(D206&gt;0,D275*100/D206/3,0)</f>
        <v>0.859539739583333</v>
      </c>
      <c r="E281" s="27" t="n">
        <f aca="false">IF(E206&gt;0,E275*100/E206/3,0)</f>
        <v>2.67383833020752</v>
      </c>
      <c r="F281" s="27" t="n">
        <f aca="false">IF(F206&gt;0,F275*100/F206/3,0)</f>
        <v>5.46537866323363</v>
      </c>
      <c r="G281" s="27" t="n">
        <f aca="false">IF(G206&gt;0,G275*100/G206/3,0)</f>
        <v>8.98170631704546</v>
      </c>
      <c r="H281" s="27" t="n">
        <f aca="false">IF(H206&gt;0,H275*100/H206/3,0)</f>
        <v>13.2211663682046</v>
      </c>
      <c r="I281" s="27" t="n">
        <f aca="false">IF(I206&gt;0,I275*100/I206/3,0)</f>
        <v>17.322771724182</v>
      </c>
      <c r="J281" s="27" t="n">
        <f aca="false">IF(J206&gt;0,J275*100/J206/3,0)</f>
        <v>21.4638069991669</v>
      </c>
      <c r="K281" s="27" t="n">
        <f aca="false">IF(K206&gt;0,K275*100/K206/3,0)</f>
        <v>25.3692728503181</v>
      </c>
      <c r="L281" s="49" t="n">
        <f aca="false">K281</f>
        <v>25.3692728503181</v>
      </c>
    </row>
    <row r="282" customFormat="false" ht="15" hidden="false" customHeight="false" outlineLevel="0" collapsed="false">
      <c r="A282" s="47" t="n">
        <v>72</v>
      </c>
      <c r="B282" s="21" t="s">
        <v>459</v>
      </c>
      <c r="C282" s="11" t="s">
        <v>448</v>
      </c>
      <c r="D282" s="26" t="n">
        <f aca="false">D275/Baseline!$F$29</f>
        <v>0.022447234156184</v>
      </c>
      <c r="E282" s="26" t="n">
        <f aca="false">E275/Baseline!$F$29</f>
        <v>0.0724250790497449</v>
      </c>
      <c r="F282" s="26" t="n">
        <f aca="false">F275/Baseline!$F$29</f>
        <v>0.153345986842453</v>
      </c>
      <c r="G282" s="26" t="n">
        <f aca="false">G275/Baseline!$F$29</f>
        <v>0.260728631652446</v>
      </c>
      <c r="H282" s="26" t="n">
        <f aca="false">H275/Baseline!$F$29</f>
        <v>0.396634991046138</v>
      </c>
      <c r="I282" s="26" t="n">
        <f aca="false">I275/Baseline!$F$29</f>
        <v>0.536506110894617</v>
      </c>
      <c r="J282" s="26" t="n">
        <f aca="false">J275/Baseline!$F$29</f>
        <v>0.685603236940315</v>
      </c>
      <c r="K282" s="26" t="n">
        <f aca="false">K275/Baseline!$F$29</f>
        <v>0.83499007122405</v>
      </c>
      <c r="L282" s="51" t="n">
        <f aca="false">K282</f>
        <v>0.83499007122405</v>
      </c>
    </row>
    <row r="283" customFormat="false" ht="15" hidden="false" customHeight="false" outlineLevel="0" collapsed="false">
      <c r="A283" s="47" t="n">
        <v>73</v>
      </c>
      <c r="B283" s="21" t="s">
        <v>460</v>
      </c>
      <c r="C283" s="11" t="s">
        <v>448</v>
      </c>
      <c r="D283" s="58" t="n">
        <f aca="false">D275/Baseline!$F$27</f>
        <v>0.00337539891385582</v>
      </c>
      <c r="E283" s="58" t="n">
        <f aca="false">E275/Baseline!$F$27</f>
        <v>0.0108905859608135</v>
      </c>
      <c r="F283" s="58" t="n">
        <f aca="false">F275/Baseline!$F$27</f>
        <v>0.0230586928363095</v>
      </c>
      <c r="G283" s="58" t="n">
        <f aca="false">G275/Baseline!$F$27</f>
        <v>0.0392058609077381</v>
      </c>
      <c r="H283" s="58" t="n">
        <f aca="false">H275/Baseline!$F$27</f>
        <v>0.0596421505054564</v>
      </c>
      <c r="I283" s="58" t="n">
        <f aca="false">I275/Baseline!$F$27</f>
        <v>0.0806746226011905</v>
      </c>
      <c r="J283" s="58" t="n">
        <f aca="false">J275/Baseline!$F$27</f>
        <v>0.10309441266584</v>
      </c>
      <c r="K283" s="58" t="n">
        <f aca="false">K275/Baseline!$F$27</f>
        <v>0.125557766265542</v>
      </c>
      <c r="L283" s="61" t="n">
        <f aca="false">K283</f>
        <v>0.125557766265542</v>
      </c>
    </row>
    <row r="284" customFormat="false" ht="15" hidden="false" customHeight="false" outlineLevel="0" collapsed="false">
      <c r="A284" s="47" t="n">
        <v>74</v>
      </c>
      <c r="B284" s="21" t="s">
        <v>461</v>
      </c>
      <c r="C284" s="11" t="s">
        <v>448</v>
      </c>
      <c r="D284" s="58" t="n">
        <f aca="false">(D226+D227)/Baseline!$F$31</f>
        <v>0.00288271284332222</v>
      </c>
      <c r="E284" s="58" t="n">
        <f aca="false">(E226+E227)/Baseline!$F$31</f>
        <v>0.0089697346272815</v>
      </c>
      <c r="F284" s="58" t="n">
        <f aca="false">(F226+F227)/Baseline!$F$31</f>
        <v>0.0185826614491927</v>
      </c>
      <c r="G284" s="58" t="n">
        <f aca="false">(G226+G227)/Baseline!$F$31</f>
        <v>0.0320430894063707</v>
      </c>
      <c r="H284" s="58" t="n">
        <f aca="false">(H226+H227)/Baseline!$F$31</f>
        <v>0.0496726145961302</v>
      </c>
      <c r="I284" s="58" t="n">
        <f aca="false">(I226+I227)/Baseline!$F$31</f>
        <v>0.0683741267769393</v>
      </c>
      <c r="J284" s="58" t="n">
        <f aca="false">(J226+J227)/Baseline!$F$31</f>
        <v>0.0881476259487978</v>
      </c>
      <c r="K284" s="58" t="n">
        <f aca="false">(K226+K227)/Baseline!$F$31</f>
        <v>0.108993112111706</v>
      </c>
      <c r="L284" s="61" t="n">
        <f aca="false">K284</f>
        <v>0.108993112111706</v>
      </c>
    </row>
    <row r="285" customFormat="false" ht="15" hidden="false" customHeight="false" outlineLevel="0" collapsed="false">
      <c r="A285" s="45"/>
      <c r="B285" s="46" t="s">
        <v>462</v>
      </c>
      <c r="C285" s="45"/>
      <c r="D285" s="45"/>
      <c r="E285" s="45"/>
      <c r="F285" s="45"/>
      <c r="G285" s="45"/>
      <c r="H285" s="45"/>
      <c r="I285" s="45"/>
      <c r="J285" s="45"/>
      <c r="K285" s="45"/>
      <c r="L285" s="45"/>
    </row>
    <row r="286" customFormat="false" ht="15" hidden="false" customHeight="false" outlineLevel="0" collapsed="false">
      <c r="A286" s="47" t="n">
        <v>75</v>
      </c>
      <c r="B286" s="21" t="s">
        <v>463</v>
      </c>
      <c r="C286" s="11" t="s">
        <v>39</v>
      </c>
      <c r="D286" s="40" t="n">
        <f aca="false">Assumptions!$F$38</f>
        <v>120000</v>
      </c>
      <c r="E286" s="40" t="n">
        <f aca="false">Assumptions!$F$38</f>
        <v>120000</v>
      </c>
      <c r="F286" s="40" t="n">
        <f aca="false">Assumptions!$F$38</f>
        <v>120000</v>
      </c>
      <c r="G286" s="40" t="n">
        <f aca="false">Assumptions!$F$38</f>
        <v>120000</v>
      </c>
      <c r="H286" s="40" t="n">
        <f aca="false">Assumptions!$F$38</f>
        <v>120000</v>
      </c>
      <c r="I286" s="40" t="n">
        <f aca="false">Assumptions!$F$38</f>
        <v>120000</v>
      </c>
      <c r="J286" s="40" t="n">
        <f aca="false">Assumptions!$F$38</f>
        <v>120000</v>
      </c>
      <c r="K286" s="40" t="n">
        <f aca="false">Assumptions!$F$38</f>
        <v>120000</v>
      </c>
      <c r="L286" s="62" t="n">
        <f aca="false">K286</f>
        <v>120000</v>
      </c>
    </row>
    <row r="287" customFormat="false" ht="15" hidden="false" customHeight="false" outlineLevel="0" collapsed="false">
      <c r="A287" s="47" t="n">
        <v>76</v>
      </c>
      <c r="B287" s="21" t="s">
        <v>464</v>
      </c>
      <c r="C287" s="11" t="s">
        <v>39</v>
      </c>
      <c r="D287" s="40" t="n">
        <f aca="false">IF(D209&gt;0,(D214+D215)*100/D209/3,0)</f>
        <v>115162.5</v>
      </c>
      <c r="E287" s="40" t="n">
        <f aca="false">IF(E209&gt;0,(E214+E215)*100/E209/3,0)</f>
        <v>115162.5</v>
      </c>
      <c r="F287" s="40" t="n">
        <f aca="false">IF(F209&gt;0,(F214+F215)*100/F209/3,0)</f>
        <v>115162.5</v>
      </c>
      <c r="G287" s="40" t="n">
        <f aca="false">IF(G209&gt;0,(G214+G215)*100/G209/3,0)</f>
        <v>115162.5</v>
      </c>
      <c r="H287" s="40" t="n">
        <f aca="false">IF(H209&gt;0,(H214+H215)*100/H209/3,0)</f>
        <v>115162.5</v>
      </c>
      <c r="I287" s="40" t="n">
        <f aca="false">IF(I209&gt;0,(I214+I215)*100/I209/3,0)</f>
        <v>115162.5</v>
      </c>
      <c r="J287" s="40" t="n">
        <f aca="false">IF(J209&gt;0,(J214+J215)*100/J209/3,0)</f>
        <v>115162.5</v>
      </c>
      <c r="K287" s="40" t="n">
        <f aca="false">IF(K209&gt;0,(K214+K215)*100/K209/3,0)</f>
        <v>115162.5</v>
      </c>
      <c r="L287" s="62" t="n">
        <f aca="false">K287</f>
        <v>115162.5</v>
      </c>
    </row>
    <row r="288" customFormat="false" ht="15" hidden="false" customHeight="false" outlineLevel="0" collapsed="false">
      <c r="A288" s="47" t="n">
        <v>77</v>
      </c>
      <c r="B288" s="19" t="s">
        <v>465</v>
      </c>
      <c r="C288" s="11" t="s">
        <v>448</v>
      </c>
      <c r="D288" s="60" t="n">
        <f aca="false">IF(D286&gt;0,D287/D286,0)</f>
        <v>0.9596875</v>
      </c>
      <c r="E288" s="60" t="n">
        <f aca="false">IF(E286&gt;0,E287/E286,0)</f>
        <v>0.9596875</v>
      </c>
      <c r="F288" s="60" t="n">
        <f aca="false">IF(F286&gt;0,F287/F286,0)</f>
        <v>0.9596875</v>
      </c>
      <c r="G288" s="60" t="n">
        <f aca="false">IF(G286&gt;0,G287/G286,0)</f>
        <v>0.9596875</v>
      </c>
      <c r="H288" s="60" t="n">
        <f aca="false">IF(H286&gt;0,H287/H286,0)</f>
        <v>0.9596875</v>
      </c>
      <c r="I288" s="60" t="n">
        <f aca="false">IF(I286&gt;0,I287/I286,0)</f>
        <v>0.9596875</v>
      </c>
      <c r="J288" s="60" t="n">
        <f aca="false">IF(J286&gt;0,J287/J286,0)</f>
        <v>0.9596875</v>
      </c>
      <c r="K288" s="60" t="n">
        <f aca="false">IF(K286&gt;0,K287/K286,0)</f>
        <v>0.9596875</v>
      </c>
      <c r="L288" s="63" t="n">
        <f aca="false">K288</f>
        <v>0.9596875</v>
      </c>
    </row>
    <row r="289" customFormat="false" ht="15" hidden="false" customHeight="false" outlineLevel="0" collapsed="false">
      <c r="A289" s="47" t="n">
        <v>78</v>
      </c>
      <c r="B289" s="21" t="s">
        <v>466</v>
      </c>
      <c r="C289" s="11" t="s">
        <v>39</v>
      </c>
      <c r="D289" s="38" t="n">
        <f aca="false">IF(D209&gt;0,(D231-(D237-D233))*100/D209/3,0)</f>
        <v>440.1509375</v>
      </c>
      <c r="E289" s="38" t="n">
        <f aca="false">IF(E209&gt;0,(E231-(E237-E233))*100/E209/3,0)</f>
        <v>440.1509375</v>
      </c>
      <c r="F289" s="38" t="n">
        <f aca="false">IF(F209&gt;0,(F231-(F237-F233))*100/F209/3,0)</f>
        <v>440.1509375</v>
      </c>
      <c r="G289" s="38" t="n">
        <f aca="false">IF(G209&gt;0,(G231-(G237-G233))*100/G209/3,0)</f>
        <v>440.1509375</v>
      </c>
      <c r="H289" s="38" t="n">
        <f aca="false">IF(H209&gt;0,(H231-(H237-H233))*100/H209/3,0)</f>
        <v>440.1509375</v>
      </c>
      <c r="I289" s="38" t="n">
        <f aca="false">IF(I209&gt;0,(I231-(I237-I233))*100/I209/3,0)</f>
        <v>440.1509375</v>
      </c>
      <c r="J289" s="38" t="n">
        <f aca="false">IF(J209&gt;0,(J231-(J237-J233))*100/J209/3,0)</f>
        <v>440.1509375</v>
      </c>
      <c r="K289" s="38" t="n">
        <f aca="false">IF(K209&gt;0,(K231-(K237-K233))*100/K209/3,0)</f>
        <v>440.1509375</v>
      </c>
      <c r="L289" s="64" t="n">
        <f aca="false">K289</f>
        <v>440.1509375</v>
      </c>
    </row>
    <row r="290" customFormat="false" ht="15" hidden="false" customHeight="false" outlineLevel="0" collapsed="false">
      <c r="A290" s="47" t="n">
        <v>79</v>
      </c>
      <c r="B290" s="21" t="s">
        <v>467</v>
      </c>
      <c r="C290" s="11" t="s">
        <v>468</v>
      </c>
      <c r="D290" s="38" t="n">
        <f aca="false">IF(D289&gt;0,Assumptions!$F$43/D289,"never")</f>
        <v>0.340792185635183</v>
      </c>
      <c r="E290" s="38" t="n">
        <f aca="false">IF(E289&gt;0,Assumptions!$F$43/E289,"never")</f>
        <v>0.340792185635184</v>
      </c>
      <c r="F290" s="38" t="n">
        <f aca="false">IF(F289&gt;0,Assumptions!$F$43/F289,"never")</f>
        <v>0.340792185635183</v>
      </c>
      <c r="G290" s="38" t="n">
        <f aca="false">IF(G289&gt;0,Assumptions!$F$43/G289,"never")</f>
        <v>0.340792185635183</v>
      </c>
      <c r="H290" s="38" t="n">
        <f aca="false">IF(H289&gt;0,Assumptions!$F$43/H289,"never")</f>
        <v>0.340792185635183</v>
      </c>
      <c r="I290" s="38" t="n">
        <f aca="false">IF(I289&gt;0,Assumptions!$F$43/I289,"never")</f>
        <v>0.340792185635183</v>
      </c>
      <c r="J290" s="38" t="n">
        <f aca="false">IF(J289&gt;0,Assumptions!$F$43/J289,"never")</f>
        <v>0.340792185635183</v>
      </c>
      <c r="K290" s="38" t="n">
        <f aca="false">IF(K289&gt;0,Assumptions!$F$43/K289,"never")</f>
        <v>0.340792185635183</v>
      </c>
      <c r="L290" s="64" t="n">
        <f aca="false">K290</f>
        <v>0.340792185635183</v>
      </c>
    </row>
    <row r="291" customFormat="false" ht="15" hidden="false" customHeight="false" outlineLevel="0" collapsed="false">
      <c r="A291" s="47" t="n">
        <v>80</v>
      </c>
      <c r="B291" s="21" t="s">
        <v>469</v>
      </c>
      <c r="C291" s="11" t="s">
        <v>470</v>
      </c>
      <c r="D291" s="38" t="n">
        <f aca="false">IF(D242&gt;0,D257*100/D242*4,0)</f>
        <v>65.8352</v>
      </c>
      <c r="E291" s="38" t="n">
        <f aca="false">IF(E242&gt;0,E257*100/E242*4,0)</f>
        <v>67.6678497272019</v>
      </c>
      <c r="F291" s="38" t="n">
        <f aca="false">IF(F242&gt;0,F257*100/F242*4,0)</f>
        <v>69.4723214446953</v>
      </c>
      <c r="G291" s="38" t="n">
        <f aca="false">IF(G242&gt;0,G257*100/G242*4,0)</f>
        <v>71.853248</v>
      </c>
      <c r="H291" s="38" t="n">
        <f aca="false">IF(H242&gt;0,H257*100/H242*4,0)</f>
        <v>74.3409790288529</v>
      </c>
      <c r="I291" s="38" t="n">
        <f aca="false">IF(I242&gt;0,I257*100/I242*4,0)</f>
        <v>77.6317658194566</v>
      </c>
      <c r="J291" s="38" t="n">
        <f aca="false">IF(J242&gt;0,J257*100/J242*4,0)</f>
        <v>80.6812740251157</v>
      </c>
      <c r="K291" s="38" t="n">
        <f aca="false">IF(K242&gt;0,K257*100/K242*4,0)</f>
        <v>84.60430007169</v>
      </c>
      <c r="L291" s="64" t="n">
        <f aca="false">K291</f>
        <v>84.60430007169</v>
      </c>
    </row>
    <row r="292" customFormat="false" ht="15" hidden="false" customHeight="false" outlineLevel="0" collapsed="false">
      <c r="A292" s="45"/>
      <c r="B292" s="46" t="s">
        <v>471</v>
      </c>
      <c r="C292" s="45"/>
      <c r="D292" s="45"/>
      <c r="E292" s="45"/>
      <c r="F292" s="45"/>
      <c r="G292" s="45"/>
      <c r="H292" s="45"/>
      <c r="I292" s="45"/>
      <c r="J292" s="45"/>
      <c r="K292" s="45"/>
      <c r="L292" s="45"/>
    </row>
    <row r="293" customFormat="false" ht="15" hidden="false" customHeight="false" outlineLevel="0" collapsed="false">
      <c r="A293" s="47" t="n">
        <v>81</v>
      </c>
      <c r="B293" s="21" t="s">
        <v>472</v>
      </c>
      <c r="C293" s="11" t="s">
        <v>39</v>
      </c>
      <c r="D293" s="40" t="n">
        <f aca="false">Assumptions!$F$12/(1-Assumptions!$F$47)</f>
        <v>393258.426966292</v>
      </c>
      <c r="E293" s="40" t="n">
        <f aca="false">Assumptions!$F$12/(1-Assumptions!$F$47)</f>
        <v>393258.426966292</v>
      </c>
      <c r="F293" s="40" t="n">
        <f aca="false">Assumptions!$F$12/(1-Assumptions!$F$47)</f>
        <v>393258.426966292</v>
      </c>
      <c r="G293" s="40" t="n">
        <f aca="false">Assumptions!$F$12/(1-Assumptions!$F$47)</f>
        <v>393258.426966292</v>
      </c>
      <c r="H293" s="40" t="n">
        <f aca="false">Assumptions!$F$12/(1-Assumptions!$F$47)</f>
        <v>393258.426966292</v>
      </c>
      <c r="I293" s="40" t="n">
        <f aca="false">Assumptions!$F$12/(1-Assumptions!$F$47)</f>
        <v>393258.426966292</v>
      </c>
      <c r="J293" s="40" t="n">
        <f aca="false">Assumptions!$F$12/(1-Assumptions!$F$47)</f>
        <v>393258.426966292</v>
      </c>
      <c r="K293" s="40" t="n">
        <f aca="false">Assumptions!$F$12/(1-Assumptions!$F$47)</f>
        <v>393258.426966292</v>
      </c>
      <c r="L293" s="62" t="n">
        <f aca="false">K293</f>
        <v>393258.426966292</v>
      </c>
    </row>
    <row r="294" customFormat="false" ht="15" hidden="false" customHeight="false" outlineLevel="0" collapsed="false">
      <c r="A294" s="47" t="n">
        <v>82</v>
      </c>
      <c r="B294" s="21" t="s">
        <v>473</v>
      </c>
      <c r="C294" s="11" t="s">
        <v>39</v>
      </c>
      <c r="D294" s="40" t="n">
        <f aca="false">D293*Assumptions!$F$39*Assumptions!$F$47</f>
        <v>1297.75280898876</v>
      </c>
      <c r="E294" s="40" t="n">
        <f aca="false">E293*Assumptions!$F$39*Assumptions!$F$47</f>
        <v>1297.75280898876</v>
      </c>
      <c r="F294" s="40" t="n">
        <f aca="false">F293*Assumptions!$F$39*Assumptions!$F$47</f>
        <v>1297.75280898876</v>
      </c>
      <c r="G294" s="40" t="n">
        <f aca="false">G293*Assumptions!$F$39*Assumptions!$F$47</f>
        <v>1297.75280898876</v>
      </c>
      <c r="H294" s="40" t="n">
        <f aca="false">H293*Assumptions!$F$39*Assumptions!$F$47</f>
        <v>1297.75280898876</v>
      </c>
      <c r="I294" s="40" t="n">
        <f aca="false">I293*Assumptions!$F$39*Assumptions!$F$47</f>
        <v>1297.75280898876</v>
      </c>
      <c r="J294" s="40" t="n">
        <f aca="false">J293*Assumptions!$F$39*Assumptions!$F$47</f>
        <v>1297.75280898876</v>
      </c>
      <c r="K294" s="40" t="n">
        <f aca="false">K293*Assumptions!$F$39*Assumptions!$F$47</f>
        <v>1297.75280898876</v>
      </c>
      <c r="L294" s="62" t="n">
        <f aca="false">K294</f>
        <v>1297.75280898876</v>
      </c>
    </row>
    <row r="295" customFormat="false" ht="15" hidden="false" customHeight="false" outlineLevel="0" collapsed="false">
      <c r="A295" s="47" t="n">
        <v>83</v>
      </c>
      <c r="B295" s="21" t="s">
        <v>474</v>
      </c>
      <c r="C295" s="11" t="s">
        <v>39</v>
      </c>
      <c r="D295" s="40" t="n">
        <f aca="false">Assumptions!$F$12*Assumptions!$F$13*Assumptions!$F$17*Assumptions!$F$18*Assumptions!$F$48</f>
        <v>597.1875</v>
      </c>
      <c r="E295" s="40" t="n">
        <f aca="false">Assumptions!$F$12*Assumptions!$F$13*Assumptions!$F$17*Assumptions!$F$18*Assumptions!$F$48</f>
        <v>597.1875</v>
      </c>
      <c r="F295" s="40" t="n">
        <f aca="false">Assumptions!$F$12*Assumptions!$F$13*Assumptions!$F$17*Assumptions!$F$18*Assumptions!$F$48</f>
        <v>597.1875</v>
      </c>
      <c r="G295" s="40" t="n">
        <f aca="false">Assumptions!$F$12*Assumptions!$F$13*Assumptions!$F$17*Assumptions!$F$18*Assumptions!$F$48</f>
        <v>597.1875</v>
      </c>
      <c r="H295" s="40" t="n">
        <f aca="false">Assumptions!$F$12*Assumptions!$F$13*Assumptions!$F$17*Assumptions!$F$18*Assumptions!$F$48</f>
        <v>597.1875</v>
      </c>
      <c r="I295" s="40" t="n">
        <f aca="false">Assumptions!$F$12*Assumptions!$F$13*Assumptions!$F$17*Assumptions!$F$18*Assumptions!$F$48</f>
        <v>597.1875</v>
      </c>
      <c r="J295" s="40" t="n">
        <f aca="false">Assumptions!$F$12*Assumptions!$F$13*Assumptions!$F$17*Assumptions!$F$18*Assumptions!$F$48</f>
        <v>597.1875</v>
      </c>
      <c r="K295" s="40" t="n">
        <f aca="false">Assumptions!$F$12*Assumptions!$F$13*Assumptions!$F$17*Assumptions!$F$18*Assumptions!$F$48</f>
        <v>597.1875</v>
      </c>
      <c r="L295" s="62" t="n">
        <f aca="false">K295</f>
        <v>597.1875</v>
      </c>
    </row>
    <row r="296" customFormat="false" ht="15" hidden="false" customHeight="false" outlineLevel="0" collapsed="false">
      <c r="A296" s="47" t="n">
        <v>84</v>
      </c>
      <c r="B296" s="21" t="s">
        <v>475</v>
      </c>
      <c r="C296" s="11" t="s">
        <v>39</v>
      </c>
      <c r="D296" s="40" t="n">
        <f aca="false">Assumptions!$F$37</f>
        <v>149</v>
      </c>
      <c r="E296" s="40" t="n">
        <f aca="false">Assumptions!$F$37</f>
        <v>149</v>
      </c>
      <c r="F296" s="40" t="n">
        <f aca="false">Assumptions!$F$37</f>
        <v>149</v>
      </c>
      <c r="G296" s="40" t="n">
        <f aca="false">Assumptions!$F$37</f>
        <v>149</v>
      </c>
      <c r="H296" s="40" t="n">
        <f aca="false">Assumptions!$F$37</f>
        <v>149</v>
      </c>
      <c r="I296" s="40" t="n">
        <f aca="false">Assumptions!$F$37</f>
        <v>149</v>
      </c>
      <c r="J296" s="40" t="n">
        <f aca="false">Assumptions!$F$37</f>
        <v>149</v>
      </c>
      <c r="K296" s="40" t="n">
        <f aca="false">Assumptions!$F$37</f>
        <v>149</v>
      </c>
      <c r="L296" s="62" t="n">
        <f aca="false">K296</f>
        <v>149</v>
      </c>
    </row>
    <row r="297" customFormat="false" ht="15" hidden="false" customHeight="false" outlineLevel="0" collapsed="false">
      <c r="A297" s="47" t="n">
        <v>85</v>
      </c>
      <c r="B297" s="21" t="s">
        <v>476</v>
      </c>
      <c r="C297" s="11" t="s">
        <v>39</v>
      </c>
      <c r="D297" s="40" t="n">
        <f aca="false">D294-D295-D296</f>
        <v>551.565308988764</v>
      </c>
      <c r="E297" s="40" t="n">
        <f aca="false">E294-E295-E296</f>
        <v>551.565308988764</v>
      </c>
      <c r="F297" s="40" t="n">
        <f aca="false">F294-F295-F296</f>
        <v>551.565308988764</v>
      </c>
      <c r="G297" s="40" t="n">
        <f aca="false">G294-G295-G296</f>
        <v>551.565308988764</v>
      </c>
      <c r="H297" s="40" t="n">
        <f aca="false">H294-H295-H296</f>
        <v>551.565308988764</v>
      </c>
      <c r="I297" s="40" t="n">
        <f aca="false">I294-I295-I296</f>
        <v>551.565308988764</v>
      </c>
      <c r="J297" s="40" t="n">
        <f aca="false">J294-J295-J296</f>
        <v>551.565308988764</v>
      </c>
      <c r="K297" s="40" t="n">
        <f aca="false">K294-K295-K296</f>
        <v>551.565308988764</v>
      </c>
      <c r="L297" s="62" t="n">
        <f aca="false">K297</f>
        <v>551.565308988764</v>
      </c>
    </row>
    <row r="298" customFormat="false" ht="15" hidden="false" customHeight="false" outlineLevel="0" collapsed="false">
      <c r="A298" s="47" t="n">
        <v>86</v>
      </c>
      <c r="B298" s="21" t="s">
        <v>477</v>
      </c>
      <c r="C298" s="11" t="s">
        <v>39</v>
      </c>
      <c r="D298" s="40" t="n">
        <f aca="false">Assumptions!$F$12*Assumptions!$F$13*Assumptions!$F$49</f>
        <v>525</v>
      </c>
      <c r="E298" s="40" t="n">
        <f aca="false">Assumptions!$F$12*Assumptions!$F$13*Assumptions!$F$49</f>
        <v>525</v>
      </c>
      <c r="F298" s="40" t="n">
        <f aca="false">Assumptions!$F$12*Assumptions!$F$13*Assumptions!$F$49</f>
        <v>525</v>
      </c>
      <c r="G298" s="40" t="n">
        <f aca="false">Assumptions!$F$12*Assumptions!$F$13*Assumptions!$F$49</f>
        <v>525</v>
      </c>
      <c r="H298" s="40" t="n">
        <f aca="false">Assumptions!$F$12*Assumptions!$F$13*Assumptions!$F$49</f>
        <v>525</v>
      </c>
      <c r="I298" s="40" t="n">
        <f aca="false">Assumptions!$F$12*Assumptions!$F$13*Assumptions!$F$49</f>
        <v>525</v>
      </c>
      <c r="J298" s="40" t="n">
        <f aca="false">Assumptions!$F$12*Assumptions!$F$13*Assumptions!$F$49</f>
        <v>525</v>
      </c>
      <c r="K298" s="40" t="n">
        <f aca="false">Assumptions!$F$12*Assumptions!$F$13*Assumptions!$F$49</f>
        <v>525</v>
      </c>
      <c r="L298" s="62" t="n">
        <f aca="false">K298</f>
        <v>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6"/>
    <col collapsed="false" customWidth="true" hidden="false" outlineLevel="0" max="3" min="3" style="0" width="16"/>
    <col collapsed="false" customWidth="true" hidden="false" outlineLevel="0" max="12" min="4" style="0" width="12"/>
  </cols>
  <sheetData>
    <row r="1" customFormat="false" ht="16.15" hidden="false" customHeight="false" outlineLevel="0" collapsed="false">
      <c r="B1" s="5" t="s">
        <v>480</v>
      </c>
    </row>
    <row r="2" customFormat="false" ht="15" hidden="false" customHeight="false" outlineLevel="0" collapsed="false">
      <c r="B2" s="6" t="s">
        <v>481</v>
      </c>
    </row>
    <row r="4" customFormat="false" ht="15" hidden="false" customHeight="false" outlineLevel="0" collapsed="false">
      <c r="B4" s="65" t="s">
        <v>482</v>
      </c>
    </row>
    <row r="5" customFormat="false" ht="15" hidden="false" customHeight="false" outlineLevel="0" collapsed="false">
      <c r="B5" s="7" t="s">
        <v>483</v>
      </c>
      <c r="C5" s="7" t="s">
        <v>27</v>
      </c>
      <c r="D5" s="7" t="s">
        <v>246</v>
      </c>
      <c r="E5" s="7" t="s">
        <v>247</v>
      </c>
      <c r="F5" s="7" t="s">
        <v>248</v>
      </c>
      <c r="G5" s="7" t="s">
        <v>249</v>
      </c>
      <c r="H5" s="7" t="s">
        <v>250</v>
      </c>
      <c r="I5" s="7" t="s">
        <v>251</v>
      </c>
      <c r="J5" s="7" t="s">
        <v>252</v>
      </c>
      <c r="K5" s="7" t="s">
        <v>253</v>
      </c>
      <c r="L5" s="7" t="s">
        <v>376</v>
      </c>
    </row>
    <row r="6" customFormat="false" ht="15" hidden="false" customHeight="false" outlineLevel="0" collapsed="false">
      <c r="B6" s="19" t="s">
        <v>446</v>
      </c>
      <c r="C6" s="11" t="s">
        <v>445</v>
      </c>
      <c r="D6" s="48" t="n">
        <f aca="false">Model!D172</f>
        <v>7.94869047619048</v>
      </c>
      <c r="E6" s="48" t="n">
        <f aca="false">Model!E172</f>
        <v>8.29714285714286</v>
      </c>
      <c r="F6" s="48" t="n">
        <f aca="false">Model!F172</f>
        <v>8.64559523809524</v>
      </c>
      <c r="G6" s="48" t="n">
        <f aca="false">Model!G172</f>
        <v>8.99404761904762</v>
      </c>
      <c r="H6" s="48" t="n">
        <f aca="false">Model!H172</f>
        <v>9.3425</v>
      </c>
      <c r="I6" s="48" t="n">
        <f aca="false">Model!I172</f>
        <v>9.69095238095238</v>
      </c>
      <c r="J6" s="48" t="n">
        <f aca="false">Model!J172</f>
        <v>10.0394047619048</v>
      </c>
      <c r="K6" s="48" t="n">
        <f aca="false">Model!K172</f>
        <v>10.3878571428571</v>
      </c>
      <c r="L6" s="66" t="n">
        <f aca="false">Model!L172</f>
        <v>73.3461904761905</v>
      </c>
    </row>
    <row r="7" customFormat="false" ht="15" hidden="false" customHeight="false" outlineLevel="0" collapsed="false">
      <c r="B7" s="19" t="s">
        <v>484</v>
      </c>
      <c r="C7" s="11" t="s">
        <v>338</v>
      </c>
      <c r="D7" s="67" t="n">
        <f aca="false">Model!D170</f>
        <v>207.886685714286</v>
      </c>
      <c r="E7" s="67" t="n">
        <f aca="false">Model!E170</f>
        <v>685.022228571429</v>
      </c>
      <c r="F7" s="67" t="n">
        <f aca="false">Model!F170</f>
        <v>1497.02708571429</v>
      </c>
      <c r="G7" s="67" t="n">
        <f aca="false">Model!G170</f>
        <v>2663.49428571429</v>
      </c>
      <c r="H7" s="67" t="n">
        <f aca="false">Model!H170</f>
        <v>4211.08542857143</v>
      </c>
      <c r="I7" s="67" t="n">
        <f aca="false">Model!I170</f>
        <v>5919.92228571429</v>
      </c>
      <c r="J7" s="67" t="n">
        <f aca="false">Model!J170</f>
        <v>7803.53971428571</v>
      </c>
      <c r="K7" s="67" t="n">
        <f aca="false">Model!K170</f>
        <v>9810.60057142857</v>
      </c>
      <c r="L7" s="68" t="n">
        <f aca="false">Model!L170</f>
        <v>32798.5782857143</v>
      </c>
    </row>
    <row r="8" customFormat="false" ht="15" hidden="false" customHeight="false" outlineLevel="0" collapsed="false">
      <c r="B8" s="21" t="s">
        <v>485</v>
      </c>
      <c r="C8" s="11" t="s">
        <v>338</v>
      </c>
      <c r="D8" s="67" t="n">
        <f aca="false">Model!D116</f>
        <v>155.862</v>
      </c>
      <c r="E8" s="67" t="n">
        <f aca="false">Model!E116</f>
        <v>484.974</v>
      </c>
      <c r="F8" s="67" t="n">
        <f aca="false">Model!F116</f>
        <v>1004.724</v>
      </c>
      <c r="G8" s="67" t="n">
        <f aca="false">Model!G116</f>
        <v>1732.5</v>
      </c>
      <c r="H8" s="67" t="n">
        <f aca="false">Model!H116</f>
        <v>2685.69</v>
      </c>
      <c r="I8" s="67" t="n">
        <f aca="false">Model!I116</f>
        <v>3696.84</v>
      </c>
      <c r="J8" s="67" t="n">
        <f aca="false">Model!J116</f>
        <v>4765.95</v>
      </c>
      <c r="K8" s="67" t="n">
        <f aca="false">Model!K116</f>
        <v>5893.02</v>
      </c>
      <c r="L8" s="68" t="n">
        <f aca="false">Model!L116</f>
        <v>20419.56</v>
      </c>
    </row>
    <row r="9" customFormat="false" ht="15" hidden="false" customHeight="false" outlineLevel="0" collapsed="false">
      <c r="B9" s="21" t="s">
        <v>486</v>
      </c>
      <c r="C9" s="11" t="s">
        <v>338</v>
      </c>
      <c r="D9" s="67" t="n">
        <f aca="false">Model!D117</f>
        <v>6.78582857142857</v>
      </c>
      <c r="E9" s="67" t="n">
        <f aca="false">Model!E117</f>
        <v>21.1145142857143</v>
      </c>
      <c r="F9" s="67" t="n">
        <f aca="false">Model!F117</f>
        <v>43.7430857142857</v>
      </c>
      <c r="G9" s="67" t="n">
        <f aca="false">Model!G117</f>
        <v>75.4285714285714</v>
      </c>
      <c r="H9" s="67" t="n">
        <f aca="false">Model!H117</f>
        <v>116.928</v>
      </c>
      <c r="I9" s="67" t="n">
        <f aca="false">Model!I117</f>
        <v>160.950857142857</v>
      </c>
      <c r="J9" s="67" t="n">
        <f aca="false">Model!J117</f>
        <v>207.497142857143</v>
      </c>
      <c r="K9" s="67" t="n">
        <f aca="false">Model!K117</f>
        <v>256.566857142857</v>
      </c>
      <c r="L9" s="68" t="n">
        <f aca="false">Model!L117</f>
        <v>889.014857142857</v>
      </c>
    </row>
    <row r="10" customFormat="false" ht="15" hidden="false" customHeight="false" outlineLevel="0" collapsed="false">
      <c r="B10" s="21" t="s">
        <v>487</v>
      </c>
      <c r="C10" s="11" t="s">
        <v>338</v>
      </c>
      <c r="D10" s="67" t="n">
        <f aca="false">Model!D149</f>
        <v>7.06857142857143</v>
      </c>
      <c r="E10" s="67" t="n">
        <f aca="false">Model!E149</f>
        <v>21.9942857142857</v>
      </c>
      <c r="F10" s="67" t="n">
        <f aca="false">Model!F149</f>
        <v>45.5657142857143</v>
      </c>
      <c r="G10" s="67" t="n">
        <f aca="false">Model!G149</f>
        <v>70.7142857142857</v>
      </c>
      <c r="H10" s="67" t="n">
        <f aca="false">Model!H149</f>
        <v>97.44</v>
      </c>
      <c r="I10" s="67" t="n">
        <f aca="false">Model!I149</f>
        <v>117.36</v>
      </c>
      <c r="J10" s="67" t="n">
        <f aca="false">Model!J149</f>
        <v>138.331428571429</v>
      </c>
      <c r="K10" s="67" t="n">
        <f aca="false">Model!K149</f>
        <v>151.445714285714</v>
      </c>
      <c r="L10" s="68" t="n">
        <f aca="false">Model!L149</f>
        <v>649.92</v>
      </c>
    </row>
    <row r="11" customFormat="false" ht="15" hidden="false" customHeight="false" outlineLevel="0" collapsed="false">
      <c r="B11" s="21" t="s">
        <v>488</v>
      </c>
      <c r="C11" s="11" t="s">
        <v>338</v>
      </c>
      <c r="D11" s="67" t="n">
        <f aca="false">Model!D151</f>
        <v>38.1702857142857</v>
      </c>
      <c r="E11" s="67" t="n">
        <f aca="false">Model!E151</f>
        <v>156.939428571429</v>
      </c>
      <c r="F11" s="67" t="n">
        <f aca="false">Model!F151</f>
        <v>402.994285714286</v>
      </c>
      <c r="G11" s="67" t="n">
        <f aca="false">Model!G151</f>
        <v>784.851428571429</v>
      </c>
      <c r="H11" s="67" t="n">
        <f aca="false">Model!H151</f>
        <v>1311.02742857143</v>
      </c>
      <c r="I11" s="67" t="n">
        <f aca="false">Model!I151</f>
        <v>1944.77142857143</v>
      </c>
      <c r="J11" s="67" t="n">
        <f aca="false">Model!J151</f>
        <v>2691.76114285714</v>
      </c>
      <c r="K11" s="67" t="n">
        <f aca="false">Model!K151</f>
        <v>3509.568</v>
      </c>
      <c r="L11" s="68" t="n">
        <f aca="false">Model!L151</f>
        <v>10840.0834285714</v>
      </c>
    </row>
    <row r="12" customFormat="false" ht="15" hidden="false" customHeight="false" outlineLevel="0" collapsed="false">
      <c r="B12" s="19" t="s">
        <v>447</v>
      </c>
      <c r="C12" s="11" t="s">
        <v>448</v>
      </c>
      <c r="D12" s="69" t="n">
        <f aca="false">Model!D173</f>
        <v>0.000261535766598272</v>
      </c>
      <c r="E12" s="69" t="n">
        <f aca="false">Model!E173</f>
        <v>0.000825612190082645</v>
      </c>
      <c r="F12" s="69" t="n">
        <f aca="false">Model!F173</f>
        <v>0.00173154889222423</v>
      </c>
      <c r="G12" s="69" t="n">
        <f aca="false">Model!G173</f>
        <v>0.00296139669093316</v>
      </c>
      <c r="H12" s="69" t="n">
        <f aca="false">Model!H173</f>
        <v>0.00450745028479682</v>
      </c>
      <c r="I12" s="69" t="n">
        <f aca="false">Model!I173</f>
        <v>0.00610871053019508</v>
      </c>
      <c r="J12" s="69" t="n">
        <f aca="false">Model!J173</f>
        <v>0.00777291074456605</v>
      </c>
      <c r="K12" s="69" t="n">
        <f aca="false">Model!K173</f>
        <v>0.00944429677508079</v>
      </c>
      <c r="L12" s="70" t="n">
        <f aca="false">Model!L173</f>
        <v>0.00447174939458666</v>
      </c>
    </row>
    <row r="13" customFormat="false" ht="15" hidden="false" customHeight="false" outlineLevel="0" collapsed="false">
      <c r="B13" s="19" t="s">
        <v>384</v>
      </c>
      <c r="C13" s="11" t="s">
        <v>381</v>
      </c>
      <c r="D13" s="48" t="n">
        <f aca="false">Model!D111</f>
        <v>0.141371428571429</v>
      </c>
      <c r="E13" s="48" t="n">
        <f aca="false">Model!E111</f>
        <v>0.439885714285714</v>
      </c>
      <c r="F13" s="48" t="n">
        <f aca="false">Model!F111</f>
        <v>0.911314285714286</v>
      </c>
      <c r="G13" s="48" t="n">
        <f aca="false">Model!G111</f>
        <v>1.57142857142857</v>
      </c>
      <c r="H13" s="48" t="n">
        <f aca="false">Model!H111</f>
        <v>2.436</v>
      </c>
      <c r="I13" s="48" t="n">
        <f aca="false">Model!I111</f>
        <v>3.35314285714286</v>
      </c>
      <c r="J13" s="48" t="n">
        <f aca="false">Model!J111</f>
        <v>4.32285714285714</v>
      </c>
      <c r="K13" s="48" t="n">
        <f aca="false">Model!K111</f>
        <v>5.34514285714286</v>
      </c>
      <c r="L13" s="66" t="n">
        <f aca="false">Model!L111</f>
        <v>5.34514285714286</v>
      </c>
    </row>
    <row r="14" customFormat="false" ht="15" hidden="false" customHeight="false" outlineLevel="0" collapsed="false">
      <c r="B14" s="19" t="s">
        <v>489</v>
      </c>
      <c r="C14" s="11" t="s">
        <v>381</v>
      </c>
      <c r="D14" s="71" t="n">
        <f aca="false">Model!D144</f>
        <v>8.83571428571429</v>
      </c>
      <c r="E14" s="71" t="n">
        <f aca="false">Model!E144</f>
        <v>27.4928571428571</v>
      </c>
      <c r="F14" s="71" t="n">
        <f aca="false">Model!F144</f>
        <v>56.9571428571429</v>
      </c>
      <c r="G14" s="71" t="n">
        <f aca="false">Model!G144</f>
        <v>88.3928571428572</v>
      </c>
      <c r="H14" s="71" t="n">
        <f aca="false">Model!H144</f>
        <v>121.8</v>
      </c>
      <c r="I14" s="71" t="n">
        <f aca="false">Model!I144</f>
        <v>146.7</v>
      </c>
      <c r="J14" s="71" t="n">
        <f aca="false">Model!J144</f>
        <v>172.914285714286</v>
      </c>
      <c r="K14" s="71" t="n">
        <f aca="false">Model!K144</f>
        <v>189.307142857143</v>
      </c>
      <c r="L14" s="72" t="n">
        <f aca="false">Model!L144</f>
        <v>189.307142857143</v>
      </c>
    </row>
    <row r="15" customFormat="false" ht="15" hidden="false" customHeight="false" outlineLevel="0" collapsed="false">
      <c r="B15" s="19" t="s">
        <v>400</v>
      </c>
      <c r="C15" s="11" t="s">
        <v>338</v>
      </c>
      <c r="D15" s="67" t="n">
        <f aca="false">Model!D126</f>
        <v>51.6889285714286</v>
      </c>
      <c r="E15" s="67" t="n">
        <f aca="false">Model!E126</f>
        <v>160.833214285714</v>
      </c>
      <c r="F15" s="67" t="n">
        <f aca="false">Model!F126</f>
        <v>333.199285714286</v>
      </c>
      <c r="G15" s="67" t="n">
        <f aca="false">Model!G126</f>
        <v>574.553571428572</v>
      </c>
      <c r="H15" s="67" t="n">
        <f aca="false">Model!H126</f>
        <v>890.6625</v>
      </c>
      <c r="I15" s="67" t="n">
        <f aca="false">Model!I126</f>
        <v>1225.99285714286</v>
      </c>
      <c r="J15" s="67" t="n">
        <f aca="false">Model!J126</f>
        <v>1580.54464285714</v>
      </c>
      <c r="K15" s="67" t="n">
        <f aca="false">Model!K126</f>
        <v>1954.31785714286</v>
      </c>
      <c r="L15" s="68" t="n">
        <f aca="false">Model!L126</f>
        <v>6771.79285714286</v>
      </c>
    </row>
    <row r="16" customFormat="false" ht="15" hidden="false" customHeight="false" outlineLevel="0" collapsed="false">
      <c r="B16" s="19" t="s">
        <v>449</v>
      </c>
      <c r="C16" s="11" t="s">
        <v>338</v>
      </c>
      <c r="D16" s="48" t="n">
        <f aca="false">Model!D174</f>
        <v>0.567678738571429</v>
      </c>
      <c r="E16" s="48" t="n">
        <f aca="false">Model!E174</f>
        <v>1.83889012714286</v>
      </c>
      <c r="F16" s="48" t="n">
        <f aca="false">Model!F174</f>
        <v>3.95757882</v>
      </c>
      <c r="G16" s="48" t="n">
        <f aca="false">Model!G174</f>
        <v>6.99202307142857</v>
      </c>
      <c r="H16" s="48" t="n">
        <f aca="false">Model!H174</f>
        <v>11.0133285642857</v>
      </c>
      <c r="I16" s="48" t="n">
        <f aca="false">Model!I174</f>
        <v>15.4193716285714</v>
      </c>
      <c r="J16" s="48" t="n">
        <f aca="false">Model!J174</f>
        <v>20.2240827785714</v>
      </c>
      <c r="K16" s="48" t="n">
        <f aca="false">Model!K174</f>
        <v>25.3432843</v>
      </c>
      <c r="L16" s="66" t="n">
        <f aca="false">Model!L174</f>
        <v>85.3562380285714</v>
      </c>
    </row>
    <row r="17" customFormat="false" ht="15" hidden="false" customHeight="false" outlineLevel="0" collapsed="false">
      <c r="B17" s="21" t="s">
        <v>490</v>
      </c>
      <c r="C17" s="11" t="s">
        <v>338</v>
      </c>
      <c r="D17" s="48" t="n">
        <f aca="false">Model!D128+Model!D129</f>
        <v>0.312121607142857</v>
      </c>
      <c r="E17" s="48" t="n">
        <f aca="false">Model!E128+Model!E129</f>
        <v>0.971185178571429</v>
      </c>
      <c r="F17" s="48" t="n">
        <f aca="false">Model!F128+Model!F129</f>
        <v>2.01201107142857</v>
      </c>
      <c r="G17" s="48" t="n">
        <f aca="false">Model!G128+Model!G129</f>
        <v>3.46941964285714</v>
      </c>
      <c r="H17" s="48" t="n">
        <f aca="false">Model!H128+Model!H129</f>
        <v>5.37823125</v>
      </c>
      <c r="I17" s="48" t="n">
        <f aca="false">Model!I128+Model!I129</f>
        <v>7.40311071428572</v>
      </c>
      <c r="J17" s="48" t="n">
        <f aca="false">Model!J128+Model!J129</f>
        <v>9.54405803571429</v>
      </c>
      <c r="K17" s="48" t="n">
        <f aca="false">Model!K128+Model!K129</f>
        <v>11.8010732142857</v>
      </c>
      <c r="L17" s="66" t="n">
        <f aca="false">Model!L128+Model!L129</f>
        <v>40.8912107142857</v>
      </c>
    </row>
    <row r="18" customFormat="false" ht="15" hidden="false" customHeight="false" outlineLevel="0" collapsed="false">
      <c r="B18" s="21" t="s">
        <v>491</v>
      </c>
      <c r="C18" s="11" t="s">
        <v>338</v>
      </c>
      <c r="D18" s="48" t="n">
        <f aca="false">Model!D130</f>
        <v>0.0935172</v>
      </c>
      <c r="E18" s="48" t="n">
        <f aca="false">Model!E130</f>
        <v>0.2909844</v>
      </c>
      <c r="F18" s="48" t="n">
        <f aca="false">Model!F130</f>
        <v>0.6028344</v>
      </c>
      <c r="G18" s="48" t="n">
        <f aca="false">Model!G130</f>
        <v>1.0395</v>
      </c>
      <c r="H18" s="48" t="n">
        <f aca="false">Model!H130</f>
        <v>1.611414</v>
      </c>
      <c r="I18" s="48" t="n">
        <f aca="false">Model!I130</f>
        <v>2.218104</v>
      </c>
      <c r="J18" s="48" t="n">
        <f aca="false">Model!J130</f>
        <v>2.85957</v>
      </c>
      <c r="K18" s="48" t="n">
        <f aca="false">Model!K130</f>
        <v>3.535812</v>
      </c>
      <c r="L18" s="66" t="n">
        <f aca="false">Model!L130</f>
        <v>12.251736</v>
      </c>
    </row>
    <row r="19" customFormat="false" ht="15" hidden="false" customHeight="false" outlineLevel="0" collapsed="false">
      <c r="B19" s="21" t="s">
        <v>492</v>
      </c>
      <c r="C19" s="11" t="s">
        <v>338</v>
      </c>
      <c r="D19" s="48" t="n">
        <f aca="false">Model!D131</f>
        <v>0.0839746285714286</v>
      </c>
      <c r="E19" s="48" t="n">
        <f aca="false">Model!E131</f>
        <v>0.261292114285714</v>
      </c>
      <c r="F19" s="48" t="n">
        <f aca="false">Model!F131</f>
        <v>0.541320685714286</v>
      </c>
      <c r="G19" s="48" t="n">
        <f aca="false">Model!G131</f>
        <v>0.933428571428572</v>
      </c>
      <c r="H19" s="48" t="n">
        <f aca="false">Model!H131</f>
        <v>1.446984</v>
      </c>
      <c r="I19" s="48" t="n">
        <f aca="false">Model!I131</f>
        <v>1.99176685714286</v>
      </c>
      <c r="J19" s="48" t="n">
        <f aca="false">Model!J131</f>
        <v>2.56777714285714</v>
      </c>
      <c r="K19" s="48" t="n">
        <f aca="false">Model!K131</f>
        <v>3.17501485714286</v>
      </c>
      <c r="L19" s="66" t="n">
        <f aca="false">Model!L131</f>
        <v>11.0015588571429</v>
      </c>
    </row>
    <row r="20" customFormat="false" ht="15" hidden="false" customHeight="false" outlineLevel="0" collapsed="false">
      <c r="B20" s="21" t="s">
        <v>493</v>
      </c>
      <c r="C20" s="11" t="s">
        <v>338</v>
      </c>
      <c r="D20" s="48" t="n">
        <f aca="false">Model!D152</f>
        <v>0.0572554285714286</v>
      </c>
      <c r="E20" s="48" t="n">
        <f aca="false">Model!E152</f>
        <v>0.235409142857143</v>
      </c>
      <c r="F20" s="48" t="n">
        <f aca="false">Model!F152</f>
        <v>0.604491428571429</v>
      </c>
      <c r="G20" s="48" t="n">
        <f aca="false">Model!G152</f>
        <v>1.17727714285714</v>
      </c>
      <c r="H20" s="48" t="n">
        <f aca="false">Model!H152</f>
        <v>1.96654114285714</v>
      </c>
      <c r="I20" s="48" t="n">
        <f aca="false">Model!I152</f>
        <v>2.91715714285714</v>
      </c>
      <c r="J20" s="48" t="n">
        <f aca="false">Model!J152</f>
        <v>4.03764171428572</v>
      </c>
      <c r="K20" s="48" t="n">
        <f aca="false">Model!K152</f>
        <v>5.264352</v>
      </c>
      <c r="L20" s="66" t="n">
        <f aca="false">Model!L152</f>
        <v>16.2601251428571</v>
      </c>
    </row>
    <row r="21" customFormat="false" ht="15" hidden="false" customHeight="false" outlineLevel="0" collapsed="false">
      <c r="B21" s="19" t="s">
        <v>441</v>
      </c>
      <c r="C21" s="11" t="s">
        <v>338</v>
      </c>
      <c r="D21" s="48" t="n">
        <f aca="false">Model!D175</f>
        <v>0.897059146428572</v>
      </c>
      <c r="E21" s="48" t="n">
        <f aca="false">Model!E175</f>
        <v>2.43782498928571</v>
      </c>
      <c r="F21" s="48" t="n">
        <f aca="false">Model!F175</f>
        <v>4.68294507857143</v>
      </c>
      <c r="G21" s="48" t="n">
        <f aca="false">Model!G175</f>
        <v>7.30020982142857</v>
      </c>
      <c r="H21" s="48" t="n">
        <f aca="false">Model!H175</f>
        <v>10.3108381964286</v>
      </c>
      <c r="I21" s="48" t="n">
        <f aca="false">Model!I175</f>
        <v>12.6721965</v>
      </c>
      <c r="J21" s="48" t="n">
        <f aca="false">Model!J175</f>
        <v>15.1568561607143</v>
      </c>
      <c r="K21" s="48" t="n">
        <f aca="false">Model!K175</f>
        <v>17.3193886071429</v>
      </c>
      <c r="L21" s="66" t="n">
        <f aca="false">Model!L175</f>
        <v>70.7773185</v>
      </c>
    </row>
    <row r="22" customFormat="false" ht="15" hidden="false" customHeight="false" outlineLevel="0" collapsed="false">
      <c r="B22" s="19" t="s">
        <v>494</v>
      </c>
      <c r="C22" s="11" t="s">
        <v>338</v>
      </c>
      <c r="D22" s="48" t="n">
        <f aca="false">Model!D176</f>
        <v>0.887989285714286</v>
      </c>
      <c r="E22" s="48" t="n">
        <f aca="false">Model!E176</f>
        <v>2.76303214285714</v>
      </c>
      <c r="F22" s="48" t="n">
        <f aca="false">Model!F176</f>
        <v>5.72419285714286</v>
      </c>
      <c r="G22" s="48" t="n">
        <f aca="false">Model!G176</f>
        <v>8.88348214285714</v>
      </c>
      <c r="H22" s="48" t="n">
        <f aca="false">Model!H176</f>
        <v>12.2409</v>
      </c>
      <c r="I22" s="48" t="n">
        <f aca="false">Model!I176</f>
        <v>14.74335</v>
      </c>
      <c r="J22" s="48" t="n">
        <f aca="false">Model!J176</f>
        <v>17.3778857142857</v>
      </c>
      <c r="K22" s="48" t="n">
        <f aca="false">Model!K176</f>
        <v>19.0253678571429</v>
      </c>
      <c r="L22" s="66" t="n">
        <f aca="false">Model!L176</f>
        <v>81.6462</v>
      </c>
    </row>
    <row r="23" customFormat="false" ht="15" hidden="false" customHeight="false" outlineLevel="0" collapsed="false">
      <c r="B23" s="19" t="s">
        <v>451</v>
      </c>
      <c r="C23" s="11" t="s">
        <v>338</v>
      </c>
      <c r="D23" s="48" t="n">
        <f aca="false">Model!D177</f>
        <v>0.558608877857143</v>
      </c>
      <c r="E23" s="48" t="n">
        <f aca="false">Model!E177</f>
        <v>2.16409728071429</v>
      </c>
      <c r="F23" s="48" t="n">
        <f aca="false">Model!F177</f>
        <v>4.99882659857143</v>
      </c>
      <c r="G23" s="48" t="n">
        <f aca="false">Model!G177</f>
        <v>8.57529539285714</v>
      </c>
      <c r="H23" s="48" t="n">
        <f aca="false">Model!H177</f>
        <v>12.9433903678571</v>
      </c>
      <c r="I23" s="48" t="n">
        <f aca="false">Model!I177</f>
        <v>17.4905251285714</v>
      </c>
      <c r="J23" s="48" t="n">
        <f aca="false">Model!J177</f>
        <v>22.4451123321429</v>
      </c>
      <c r="K23" s="48" t="n">
        <f aca="false">Model!K177</f>
        <v>27.04926355</v>
      </c>
      <c r="L23" s="66" t="n">
        <f aca="false">Model!L177</f>
        <v>96.2251195285714</v>
      </c>
    </row>
    <row r="24" customFormat="false" ht="15" hidden="false" customHeight="false" outlineLevel="0" collapsed="false">
      <c r="B24" s="21" t="s">
        <v>495</v>
      </c>
      <c r="C24" s="11" t="s">
        <v>338</v>
      </c>
      <c r="D24" s="48" t="n">
        <f aca="false">Model!D140</f>
        <v>-0.0513028078571429</v>
      </c>
      <c r="E24" s="48" t="n">
        <f aca="false">Model!E140</f>
        <v>0.193796795</v>
      </c>
      <c r="F24" s="48" t="n">
        <f aca="false">Model!F140</f>
        <v>0.769004027142857</v>
      </c>
      <c r="G24" s="48" t="n">
        <f aca="false">Model!G140</f>
        <v>1.70802410714286</v>
      </c>
      <c r="H24" s="48" t="n">
        <f aca="false">Model!H140</f>
        <v>3.04456225357143</v>
      </c>
      <c r="I24" s="48" t="n">
        <f aca="false">Model!I140</f>
        <v>4.87316541428572</v>
      </c>
      <c r="J24" s="48" t="n">
        <f aca="false">Model!J140</f>
        <v>6.81411930357143</v>
      </c>
      <c r="K24" s="48" t="n">
        <f aca="false">Model!K140</f>
        <v>8.86742392142857</v>
      </c>
      <c r="L24" s="66" t="n">
        <f aca="false">Model!L140</f>
        <v>26.2187930142857</v>
      </c>
    </row>
    <row r="25" customFormat="false" ht="15" hidden="false" customHeight="false" outlineLevel="0" collapsed="false">
      <c r="B25" s="21" t="s">
        <v>496</v>
      </c>
      <c r="C25" s="11" t="s">
        <v>338</v>
      </c>
      <c r="D25" s="48" t="n">
        <f aca="false">Model!D159</f>
        <v>0.609911685714286</v>
      </c>
      <c r="E25" s="48" t="n">
        <f aca="false">Model!E159</f>
        <v>1.97030048571429</v>
      </c>
      <c r="F25" s="48" t="n">
        <f aca="false">Model!F159</f>
        <v>4.22982257142857</v>
      </c>
      <c r="G25" s="48" t="n">
        <f aca="false">Model!G159</f>
        <v>6.86727128571429</v>
      </c>
      <c r="H25" s="48" t="n">
        <f aca="false">Model!H159</f>
        <v>9.89882811428571</v>
      </c>
      <c r="I25" s="48" t="n">
        <f aca="false">Model!I159</f>
        <v>12.6173597142857</v>
      </c>
      <c r="J25" s="48" t="n">
        <f aca="false">Model!J159</f>
        <v>15.6309930285714</v>
      </c>
      <c r="K25" s="48" t="n">
        <f aca="false">Model!K159</f>
        <v>18.1818396285714</v>
      </c>
      <c r="L25" s="66" t="n">
        <f aca="false">Model!L159</f>
        <v>70.0063265142857</v>
      </c>
    </row>
    <row r="26" customFormat="false" ht="15" hidden="false" customHeight="false" outlineLevel="0" collapsed="false">
      <c r="B26" s="19" t="s">
        <v>453</v>
      </c>
      <c r="C26" s="11" t="s">
        <v>448</v>
      </c>
      <c r="D26" s="50" t="n">
        <f aca="false">Model!D179</f>
        <v>0.383747440032729</v>
      </c>
      <c r="E26" s="50" t="n">
        <f aca="false">Model!E179</f>
        <v>0.470259416336097</v>
      </c>
      <c r="F26" s="50" t="n">
        <f aca="false">Model!F179</f>
        <v>0.516313208498076</v>
      </c>
      <c r="G26" s="50" t="n">
        <f aca="false">Model!G179</f>
        <v>0.540158897440353</v>
      </c>
      <c r="H26" s="50" t="n">
        <f aca="false">Model!H179</f>
        <v>0.556603730460268</v>
      </c>
      <c r="I26" s="50" t="n">
        <f aca="false">Model!I179</f>
        <v>0.579872245746009</v>
      </c>
      <c r="J26" s="50" t="n">
        <f aca="false">Model!J179</f>
        <v>0.596913226402137</v>
      </c>
      <c r="K26" s="50" t="n">
        <f aca="false">Model!K179</f>
        <v>0.609648078877811</v>
      </c>
      <c r="L26" s="73" t="n">
        <f aca="false">Model!L179</f>
        <v>0.57618990874917</v>
      </c>
    </row>
    <row r="27" customFormat="false" ht="15" hidden="false" customHeight="false" outlineLevel="0" collapsed="false">
      <c r="B27" s="19" t="s">
        <v>454</v>
      </c>
      <c r="C27" s="11" t="s">
        <v>448</v>
      </c>
      <c r="D27" s="50" t="n">
        <f aca="false">Model!D180</f>
        <v>-0.104204579308761</v>
      </c>
      <c r="E27" s="50" t="n">
        <f aca="false">Model!E180</f>
        <v>0.126506851869792</v>
      </c>
      <c r="F27" s="50" t="n">
        <f aca="false">Model!F180</f>
        <v>0.242307999398986</v>
      </c>
      <c r="G27" s="50" t="n">
        <f aca="false">Model!G180</f>
        <v>0.312109269333041</v>
      </c>
      <c r="H27" s="50" t="n">
        <f aca="false">Model!H180</f>
        <v>0.358884656160659</v>
      </c>
      <c r="I27" s="50" t="n">
        <f aca="false">Model!I180</f>
        <v>0.417317323044004</v>
      </c>
      <c r="J27" s="50" t="n">
        <f aca="false">Model!J180</f>
        <v>0.452632949627628</v>
      </c>
      <c r="K27" s="50" t="n">
        <f aca="false">Model!K180</f>
        <v>0.4763711702101</v>
      </c>
      <c r="L27" s="73" t="n">
        <f aca="false">Model!L180</f>
        <v>0.406492212164295</v>
      </c>
    </row>
    <row r="28" customFormat="false" ht="15" hidden="false" customHeight="false" outlineLevel="0" collapsed="false">
      <c r="B28" s="19" t="s">
        <v>455</v>
      </c>
      <c r="C28" s="11" t="s">
        <v>456</v>
      </c>
      <c r="D28" s="71" t="n">
        <f aca="false">Model!D181</f>
        <v>2.7257</v>
      </c>
      <c r="E28" s="71" t="n">
        <f aca="false">Model!E181</f>
        <v>2.79164762275916</v>
      </c>
      <c r="F28" s="71" t="n">
        <f aca="false">Model!F181</f>
        <v>2.85658126410835</v>
      </c>
      <c r="G28" s="71" t="n">
        <f aca="false">Model!G181</f>
        <v>2.94225854545455</v>
      </c>
      <c r="H28" s="71" t="n">
        <f aca="false">Model!H181</f>
        <v>3.03177916959887</v>
      </c>
      <c r="I28" s="71" t="n">
        <f aca="false">Model!I181</f>
        <v>3.15019763365469</v>
      </c>
      <c r="J28" s="71" t="n">
        <f aca="false">Model!J181</f>
        <v>3.25993372438863</v>
      </c>
      <c r="K28" s="71" t="n">
        <f aca="false">Model!K181</f>
        <v>3.40110322227672</v>
      </c>
      <c r="L28" s="72" t="n">
        <f aca="false">Model!L181</f>
        <v>3.15430596117324</v>
      </c>
    </row>
    <row r="29" customFormat="false" ht="15" hidden="false" customHeight="false" outlineLevel="0" collapsed="false">
      <c r="B29" s="19" t="s">
        <v>497</v>
      </c>
      <c r="C29" s="11" t="s">
        <v>448</v>
      </c>
      <c r="D29" s="50" t="n">
        <f aca="false">Model!D184</f>
        <v>0.00275176787121745</v>
      </c>
      <c r="E29" s="50" t="n">
        <f aca="false">Model!E184</f>
        <v>0.0106605777375088</v>
      </c>
      <c r="F29" s="50" t="n">
        <f aca="false">Model!F184</f>
        <v>0.0246247615693174</v>
      </c>
      <c r="G29" s="50" t="n">
        <f aca="false">Model!G184</f>
        <v>0.0422428344475721</v>
      </c>
      <c r="H29" s="50" t="n">
        <f aca="false">Model!H184</f>
        <v>0.0637605436840253</v>
      </c>
      <c r="I29" s="50" t="n">
        <f aca="false">Model!I184</f>
        <v>0.0861602223082337</v>
      </c>
      <c r="J29" s="50" t="n">
        <f aca="false">Model!J184</f>
        <v>0.110567055823364</v>
      </c>
      <c r="K29" s="50" t="n">
        <f aca="false">Model!K184</f>
        <v>0.133247603694581</v>
      </c>
    </row>
    <row r="30" customFormat="false" ht="15" hidden="false" customHeight="false" outlineLevel="0" collapsed="false">
      <c r="B30" s="19" t="s">
        <v>415</v>
      </c>
      <c r="C30" s="11" t="s">
        <v>338</v>
      </c>
      <c r="D30" s="48" t="n">
        <f aca="false">Model!D141</f>
        <v>0.7422</v>
      </c>
      <c r="E30" s="48" t="n">
        <f aca="false">Model!E141</f>
        <v>2.3094</v>
      </c>
      <c r="F30" s="48" t="n">
        <f aca="false">Model!F141</f>
        <v>4.7844</v>
      </c>
      <c r="G30" s="48" t="n">
        <f aca="false">Model!G141</f>
        <v>8.25</v>
      </c>
      <c r="H30" s="48" t="n">
        <f aca="false">Model!H141</f>
        <v>12.789</v>
      </c>
      <c r="I30" s="48" t="n">
        <f aca="false">Model!I141</f>
        <v>17.604</v>
      </c>
      <c r="J30" s="48" t="n">
        <f aca="false">Model!J141</f>
        <v>22.695</v>
      </c>
      <c r="K30" s="48" t="n">
        <f aca="false">Model!K141</f>
        <v>28.062</v>
      </c>
      <c r="L30" s="66" t="n">
        <f aca="false">Model!L141</f>
        <v>97.236</v>
      </c>
    </row>
    <row r="32" customFormat="false" ht="15" hidden="false" customHeight="false" outlineLevel="0" collapsed="false">
      <c r="B32" s="65" t="s">
        <v>498</v>
      </c>
    </row>
    <row r="33" customFormat="false" ht="15" hidden="false" customHeight="false" outlineLevel="0" collapsed="false">
      <c r="B33" s="7" t="s">
        <v>483</v>
      </c>
      <c r="C33" s="7" t="s">
        <v>27</v>
      </c>
      <c r="D33" s="7" t="s">
        <v>28</v>
      </c>
      <c r="E33" s="7" t="s">
        <v>29</v>
      </c>
      <c r="F33" s="7" t="s">
        <v>30</v>
      </c>
    </row>
    <row r="34" customFormat="false" ht="15" hidden="false" customHeight="false" outlineLevel="0" collapsed="false">
      <c r="B34" s="19" t="s">
        <v>499</v>
      </c>
      <c r="C34" s="11" t="s">
        <v>338</v>
      </c>
      <c r="D34" s="67" t="n">
        <f aca="false">Model!L72</f>
        <v>6006.46</v>
      </c>
      <c r="E34" s="67" t="n">
        <f aca="false">Model!L170</f>
        <v>32798.5782857143</v>
      </c>
      <c r="F34" s="67" t="n">
        <f aca="false">Model!L268</f>
        <v>143347.896535714</v>
      </c>
    </row>
    <row r="35" customFormat="false" ht="15" hidden="false" customHeight="false" outlineLevel="0" collapsed="false">
      <c r="B35" s="19" t="s">
        <v>500</v>
      </c>
      <c r="C35" s="11" t="s">
        <v>338</v>
      </c>
      <c r="D35" s="67" t="n">
        <f aca="false">Model!K72</f>
        <v>1884.73476190476</v>
      </c>
      <c r="E35" s="67" t="n">
        <f aca="false">Model!K170</f>
        <v>9810.60057142857</v>
      </c>
      <c r="F35" s="67" t="n">
        <f aca="false">Model!K268</f>
        <v>42038.1456607143</v>
      </c>
    </row>
    <row r="36" customFormat="false" ht="15" hidden="false" customHeight="false" outlineLevel="0" collapsed="false">
      <c r="B36" s="19" t="s">
        <v>501</v>
      </c>
      <c r="C36" s="11" t="s">
        <v>448</v>
      </c>
      <c r="D36" s="69" t="n">
        <f aca="false">Model!K75</f>
        <v>0.00181436338215407</v>
      </c>
      <c r="E36" s="69" t="n">
        <f aca="false">Model!K173</f>
        <v>0.00944429677508079</v>
      </c>
      <c r="F36" s="69" t="n">
        <f aca="false">Model!K271</f>
        <v>0.0404685442652823</v>
      </c>
    </row>
    <row r="37" customFormat="false" ht="15" hidden="false" customHeight="false" outlineLevel="0" collapsed="false">
      <c r="B37" s="19" t="s">
        <v>502</v>
      </c>
      <c r="C37" s="11" t="s">
        <v>338</v>
      </c>
      <c r="D37" s="71" t="n">
        <f aca="false">Model!L79</f>
        <v>-27.4168412267857</v>
      </c>
      <c r="E37" s="71" t="n">
        <f aca="false">Model!L177</f>
        <v>96.2251195285714</v>
      </c>
      <c r="F37" s="71" t="n">
        <f aca="false">Model!L275</f>
        <v>601.424312386607</v>
      </c>
    </row>
    <row r="38" customFormat="false" ht="15" hidden="false" customHeight="false" outlineLevel="0" collapsed="false">
      <c r="B38" s="21" t="s">
        <v>495</v>
      </c>
      <c r="C38" s="11" t="s">
        <v>338</v>
      </c>
      <c r="D38" s="71" t="n">
        <f aca="false">Model!L42</f>
        <v>-16.3975040839286</v>
      </c>
      <c r="E38" s="71" t="n">
        <f aca="false">Model!L140</f>
        <v>26.2187930142857</v>
      </c>
      <c r="F38" s="71" t="n">
        <f aca="false">Model!L238</f>
        <v>443.522320272321</v>
      </c>
    </row>
    <row r="39" customFormat="false" ht="15" hidden="false" customHeight="false" outlineLevel="0" collapsed="false">
      <c r="B39" s="21" t="s">
        <v>496</v>
      </c>
      <c r="C39" s="11" t="s">
        <v>338</v>
      </c>
      <c r="D39" s="71" t="n">
        <f aca="false">Model!L61</f>
        <v>-11.0193371428571</v>
      </c>
      <c r="E39" s="71" t="n">
        <f aca="false">Model!L159</f>
        <v>70.0063265142857</v>
      </c>
      <c r="F39" s="71" t="n">
        <f aca="false">Model!L257</f>
        <v>157.901992114286</v>
      </c>
    </row>
    <row r="40" customFormat="false" ht="15" hidden="false" customHeight="false" outlineLevel="0" collapsed="false">
      <c r="B40" s="19" t="s">
        <v>503</v>
      </c>
      <c r="C40" s="11" t="s">
        <v>338</v>
      </c>
      <c r="D40" s="71" t="n">
        <f aca="false">Model!K79</f>
        <v>-5.69990053541667</v>
      </c>
      <c r="E40" s="71" t="n">
        <f aca="false">Model!K177</f>
        <v>27.04926355</v>
      </c>
      <c r="F40" s="71" t="n">
        <f aca="false">Model!K275</f>
        <v>169.502984458482</v>
      </c>
    </row>
    <row r="41" customFormat="false" ht="15" hidden="false" customHeight="false" outlineLevel="0" collapsed="false">
      <c r="B41" s="19" t="s">
        <v>504</v>
      </c>
      <c r="C41" s="11" t="s">
        <v>448</v>
      </c>
      <c r="D41" s="50" t="n">
        <f aca="false">Model!K86</f>
        <v>-0.0280783277606732</v>
      </c>
      <c r="E41" s="50" t="n">
        <f aca="false">Model!K184</f>
        <v>0.133247603694581</v>
      </c>
      <c r="F41" s="50" t="n">
        <f aca="false">Model!K282</f>
        <v>0.83499007122405</v>
      </c>
    </row>
    <row r="42" customFormat="false" ht="15" hidden="false" customHeight="false" outlineLevel="0" collapsed="false">
      <c r="B42" s="19" t="s">
        <v>505</v>
      </c>
      <c r="C42" s="11" t="s">
        <v>448</v>
      </c>
      <c r="D42" s="50" t="n">
        <f aca="false">Model!L81</f>
        <v>-0.51390898261798</v>
      </c>
      <c r="E42" s="50" t="n">
        <f aca="false">Model!L179</f>
        <v>0.57618990874917</v>
      </c>
      <c r="F42" s="50" t="n">
        <f aca="false">Model!L277</f>
        <v>0.910703919824563</v>
      </c>
    </row>
    <row r="43" customFormat="false" ht="15" hidden="false" customHeight="false" outlineLevel="0" collapsed="false">
      <c r="B43" s="19" t="s">
        <v>506</v>
      </c>
      <c r="C43" s="11" t="s">
        <v>448</v>
      </c>
      <c r="D43" s="50" t="n">
        <f aca="false">Model!L82</f>
        <v>-4.76818260377432</v>
      </c>
      <c r="E43" s="50" t="n">
        <f aca="false">Model!L180</f>
        <v>0.406492212164295</v>
      </c>
      <c r="F43" s="50" t="n">
        <f aca="false">Model!L278</f>
        <v>0.912137535254292</v>
      </c>
    </row>
    <row r="44" customFormat="false" ht="15" hidden="false" customHeight="false" outlineLevel="0" collapsed="false">
      <c r="B44" s="19" t="s">
        <v>507</v>
      </c>
      <c r="C44" s="11" t="s">
        <v>456</v>
      </c>
      <c r="D44" s="71" t="n">
        <f aca="false">Model!L83</f>
        <v>0.819147593256899</v>
      </c>
      <c r="E44" s="71" t="n">
        <f aca="false">Model!L181</f>
        <v>3.15430596117324</v>
      </c>
      <c r="F44" s="71" t="n">
        <f aca="false">Model!L279</f>
        <v>10.7182417598649</v>
      </c>
    </row>
    <row r="45" customFormat="false" ht="15" hidden="false" customHeight="false" outlineLevel="0" collapsed="false">
      <c r="B45" s="19" t="s">
        <v>508</v>
      </c>
      <c r="C45" s="11" t="s">
        <v>448</v>
      </c>
      <c r="D45" s="50" t="n">
        <f aca="false">Model!L84</f>
        <v>0.208138761076765</v>
      </c>
      <c r="E45" s="50" t="n">
        <f aca="false">Model!L182</f>
        <v>0.622574546436786</v>
      </c>
      <c r="F45" s="50" t="n">
        <f aca="false">Model!L280</f>
        <v>0.810806499843147</v>
      </c>
    </row>
    <row r="46" customFormat="false" ht="15" hidden="false" customHeight="false" outlineLevel="0" collapsed="false">
      <c r="B46" s="19" t="s">
        <v>509</v>
      </c>
      <c r="C46" s="11" t="s">
        <v>338</v>
      </c>
      <c r="D46" s="71" t="n">
        <f aca="false">Model!L76</f>
        <v>12.5265049964286</v>
      </c>
      <c r="E46" s="71" t="n">
        <f aca="false">Model!L174</f>
        <v>85.3562380285714</v>
      </c>
      <c r="F46" s="71" t="n">
        <f aca="false">Model!L272</f>
        <v>522.693196984821</v>
      </c>
    </row>
    <row r="47" customFormat="false" ht="15" hidden="false" customHeight="false" outlineLevel="0" collapsed="false">
      <c r="B47" s="19" t="s">
        <v>510</v>
      </c>
      <c r="C47" s="11" t="s">
        <v>338</v>
      </c>
      <c r="D47" s="71" t="n">
        <f aca="false">Model!L32</f>
        <v>0</v>
      </c>
      <c r="E47" s="71" t="n">
        <f aca="false">Model!L130</f>
        <v>12.251736</v>
      </c>
      <c r="F47" s="71" t="n">
        <f aca="false">Model!L228</f>
        <v>130.75583203125</v>
      </c>
    </row>
    <row r="48" customFormat="false" ht="15" hidden="false" customHeight="false" outlineLevel="0" collapsed="false">
      <c r="B48" s="19" t="s">
        <v>511</v>
      </c>
      <c r="C48" s="11" t="s">
        <v>381</v>
      </c>
      <c r="D48" s="48" t="n">
        <f aca="false">Model!K13</f>
        <v>2.00442857142857</v>
      </c>
      <c r="E48" s="48" t="n">
        <f aca="false">Model!K111</f>
        <v>5.34514285714286</v>
      </c>
      <c r="F48" s="48" t="n">
        <f aca="false">Model!K209</f>
        <v>10.0221428571429</v>
      </c>
    </row>
    <row r="49" customFormat="false" ht="15" hidden="false" customHeight="false" outlineLevel="0" collapsed="false">
      <c r="B49" s="19" t="s">
        <v>512</v>
      </c>
      <c r="C49" s="11" t="s">
        <v>338</v>
      </c>
      <c r="D49" s="67" t="n">
        <f aca="false">Model!L28</f>
        <v>414.989357142857</v>
      </c>
      <c r="E49" s="67" t="n">
        <f aca="false">Model!L126</f>
        <v>6771.79285714286</v>
      </c>
      <c r="F49" s="67" t="n">
        <f aca="false">Model!L224</f>
        <v>44081.7669642857</v>
      </c>
    </row>
    <row r="50" customFormat="false" ht="15" hidden="false" customHeight="false" outlineLevel="0" collapsed="false">
      <c r="B50" s="19" t="s">
        <v>513</v>
      </c>
      <c r="C50" s="11" t="s">
        <v>39</v>
      </c>
      <c r="D50" s="67" t="n">
        <f aca="false">Model!K91</f>
        <v>6500</v>
      </c>
      <c r="E50" s="67" t="n">
        <f aca="false">Model!K189</f>
        <v>38350</v>
      </c>
      <c r="F50" s="67" t="n">
        <f aca="false">Model!K287</f>
        <v>115162.5</v>
      </c>
    </row>
    <row r="51" customFormat="false" ht="15" hidden="false" customHeight="false" outlineLevel="0" collapsed="false">
      <c r="B51" s="19" t="s">
        <v>465</v>
      </c>
      <c r="C51" s="11" t="s">
        <v>448</v>
      </c>
      <c r="D51" s="50" t="n">
        <f aca="false">Model!K92</f>
        <v>0.13</v>
      </c>
      <c r="E51" s="50" t="n">
        <f aca="false">Model!K190</f>
        <v>0.479375</v>
      </c>
      <c r="F51" s="50" t="n">
        <f aca="false">Model!K288</f>
        <v>0.9596875</v>
      </c>
    </row>
    <row r="52" customFormat="false" ht="15" hidden="false" customHeight="false" outlineLevel="0" collapsed="false">
      <c r="B52" s="19" t="s">
        <v>514</v>
      </c>
      <c r="C52" s="11" t="s">
        <v>39</v>
      </c>
      <c r="D52" s="71" t="n">
        <f aca="false">Model!K93</f>
        <v>-40.2172916666667</v>
      </c>
      <c r="E52" s="71" t="n">
        <f aca="false">Model!K191</f>
        <v>71.236875</v>
      </c>
      <c r="F52" s="71" t="n">
        <f aca="false">Model!K289</f>
        <v>440.1509375</v>
      </c>
    </row>
    <row r="53" customFormat="false" ht="15" hidden="false" customHeight="false" outlineLevel="0" collapsed="false">
      <c r="B53" s="19" t="s">
        <v>467</v>
      </c>
      <c r="C53" s="11" t="s">
        <v>468</v>
      </c>
      <c r="D53" s="71" t="str">
        <f aca="false">Model!K94</f>
        <v>never</v>
      </c>
      <c r="E53" s="71" t="n">
        <f aca="false">Model!K192</f>
        <v>3.50941840163539</v>
      </c>
      <c r="F53" s="71" t="n">
        <f aca="false">Model!K290</f>
        <v>0.340792185635183</v>
      </c>
    </row>
    <row r="54" customFormat="false" ht="15" hidden="false" customHeight="false" outlineLevel="0" collapsed="false">
      <c r="B54" s="19" t="s">
        <v>469</v>
      </c>
      <c r="C54" s="11" t="s">
        <v>470</v>
      </c>
      <c r="D54" s="71" t="n">
        <f aca="false">Model!K95</f>
        <v>-3.69366159805809</v>
      </c>
      <c r="E54" s="71" t="n">
        <f aca="false">Model!K193</f>
        <v>38.4176515564276</v>
      </c>
      <c r="F54" s="71" t="n">
        <f aca="false">Model!K291</f>
        <v>84.60430007169</v>
      </c>
    </row>
    <row r="55" customFormat="false" ht="15" hidden="false" customHeight="false" outlineLevel="0" collapsed="false">
      <c r="B55" s="19" t="s">
        <v>515</v>
      </c>
      <c r="C55" s="11" t="s">
        <v>39</v>
      </c>
      <c r="D55" s="67" t="n">
        <f aca="false">Model!K101</f>
        <v>32.4032258064516</v>
      </c>
      <c r="E55" s="67" t="n">
        <f aca="false">Model!K199</f>
        <v>204.099244505494</v>
      </c>
      <c r="F55" s="67" t="n">
        <f aca="false">Model!K297</f>
        <v>551.565308988764</v>
      </c>
    </row>
    <row r="56" customFormat="false" ht="15" hidden="false" customHeight="false" outlineLevel="0" collapsed="false">
      <c r="B56" s="19" t="s">
        <v>516</v>
      </c>
      <c r="C56" s="11" t="s">
        <v>338</v>
      </c>
      <c r="D56" s="48" t="n">
        <f aca="false">Model!L43</f>
        <v>6.25088571428572</v>
      </c>
      <c r="E56" s="48" t="n">
        <f aca="false">Model!L141</f>
        <v>97.236</v>
      </c>
      <c r="F56" s="48" t="n">
        <f aca="false">Model!L239</f>
        <v>546.9525</v>
      </c>
    </row>
    <row r="57" customFormat="false" ht="15" hidden="false" customHeight="false" outlineLevel="0" collapsed="false">
      <c r="B57" s="19" t="s">
        <v>517</v>
      </c>
      <c r="C57" s="11" t="s">
        <v>338</v>
      </c>
      <c r="D57" s="48" t="n">
        <f aca="false">Model!L70</f>
        <v>1.82569448571429</v>
      </c>
      <c r="E57" s="48" t="n">
        <f aca="false">Model!L168</f>
        <v>35.5329195428571</v>
      </c>
      <c r="F57" s="48" t="n">
        <f aca="false">Model!L266</f>
        <v>157.670972331429</v>
      </c>
    </row>
    <row r="58" customFormat="false" ht="15" hidden="false" customHeight="false" outlineLevel="0" collapsed="false">
      <c r="B58" s="19" t="s">
        <v>518</v>
      </c>
      <c r="C58" s="11" t="s">
        <v>338</v>
      </c>
      <c r="D58" s="67" t="n">
        <f aca="false">Model!L66</f>
        <v>22.7076428571429</v>
      </c>
      <c r="E58" s="67" t="n">
        <f aca="false">Model!L164</f>
        <v>272.491714285714</v>
      </c>
      <c r="F58" s="67" t="n">
        <f aca="false">Model!L262</f>
        <v>1335.2094</v>
      </c>
    </row>
    <row r="60" customFormat="false" ht="15" hidden="false" customHeight="false" outlineLevel="0" collapsed="false">
      <c r="B60" s="65" t="s">
        <v>519</v>
      </c>
    </row>
    <row r="61" customFormat="false" ht="15" hidden="false" customHeight="false" outlineLevel="0" collapsed="false">
      <c r="B61" s="21" t="s">
        <v>520</v>
      </c>
      <c r="C61" s="11" t="s">
        <v>445</v>
      </c>
      <c r="D61" s="48" t="n">
        <f aca="false">Baseline!E12</f>
        <v>7.1</v>
      </c>
    </row>
    <row r="62" customFormat="false" ht="15" hidden="false" customHeight="false" outlineLevel="0" collapsed="false">
      <c r="B62" s="21" t="s">
        <v>521</v>
      </c>
      <c r="C62" s="11" t="s">
        <v>445</v>
      </c>
      <c r="D62" s="48" t="n">
        <f aca="false">Baseline!E22</f>
        <v>10.3878571428571</v>
      </c>
    </row>
    <row r="63" customFormat="false" ht="15" hidden="false" customHeight="false" outlineLevel="0" collapsed="false">
      <c r="B63" s="21" t="s">
        <v>522</v>
      </c>
      <c r="C63" s="11" t="s">
        <v>445</v>
      </c>
      <c r="D63" s="48" t="n">
        <f aca="false">Baseline!G22</f>
        <v>12.8514257101601</v>
      </c>
    </row>
    <row r="64" customFormat="false" ht="15" hidden="false" customHeight="false" outlineLevel="0" collapsed="false">
      <c r="B64" s="21" t="s">
        <v>523</v>
      </c>
      <c r="C64" s="11" t="s">
        <v>364</v>
      </c>
      <c r="D64" s="48" t="n">
        <f aca="false">Baseline!H22</f>
        <v>2.22714285714286</v>
      </c>
    </row>
    <row r="65" customFormat="false" ht="15" hidden="false" customHeight="false" outlineLevel="0" collapsed="false">
      <c r="B65" s="21" t="s">
        <v>524</v>
      </c>
      <c r="C65" s="11" t="s">
        <v>338</v>
      </c>
      <c r="D65" s="67" t="n">
        <f aca="false">Baseline!F27</f>
        <v>1350</v>
      </c>
    </row>
    <row r="66" customFormat="false" ht="15" hidden="false" customHeight="false" outlineLevel="0" collapsed="false">
      <c r="B66" s="21" t="s">
        <v>525</v>
      </c>
      <c r="C66" s="11" t="s">
        <v>338</v>
      </c>
      <c r="D66" s="67" t="n">
        <f aca="false">Baseline!F29</f>
        <v>203</v>
      </c>
    </row>
    <row r="67" customFormat="false" ht="15" hidden="false" customHeight="false" outlineLevel="0" collapsed="false">
      <c r="B67" s="21" t="s">
        <v>526</v>
      </c>
      <c r="C67" s="11" t="s">
        <v>338</v>
      </c>
      <c r="D67" s="67" t="n">
        <f aca="false">Baseline!F31</f>
        <v>814</v>
      </c>
    </row>
    <row r="68" customFormat="false" ht="15" hidden="false" customHeight="false" outlineLevel="0" collapsed="false">
      <c r="B68" s="21" t="s">
        <v>527</v>
      </c>
      <c r="C68" s="11" t="s">
        <v>338</v>
      </c>
      <c r="D68" s="48" t="n">
        <f aca="false">Baseline!F41</f>
        <v>29.52</v>
      </c>
    </row>
    <row r="69" customFormat="false" ht="15" hidden="false" customHeight="false" outlineLevel="0" collapsed="false">
      <c r="B69" s="21" t="s">
        <v>528</v>
      </c>
      <c r="C69" s="11" t="s">
        <v>456</v>
      </c>
      <c r="D69" s="71" t="n">
        <f aca="false">IF(Baseline!F41&gt;0,Model!L177/Baseline!F41,0)</f>
        <v>3.25965852061556</v>
      </c>
    </row>
    <row r="70" customFormat="false" ht="15" hidden="false" customHeight="false" outlineLevel="0" collapsed="false">
      <c r="B70" s="21" t="s">
        <v>529</v>
      </c>
      <c r="C70" s="11" t="s">
        <v>448</v>
      </c>
      <c r="D70" s="69" t="n">
        <f aca="false">Model!K186</f>
        <v>0.0144976329413829</v>
      </c>
    </row>
    <row r="71" customFormat="false" ht="15" hidden="false" customHeight="false" outlineLevel="0" collapsed="false">
      <c r="B71" s="21" t="s">
        <v>530</v>
      </c>
      <c r="C71" s="11" t="s">
        <v>531</v>
      </c>
      <c r="D71" s="71" t="n">
        <f aca="false">Baseline!F35</f>
        <v>6.01</v>
      </c>
    </row>
    <row r="73" customFormat="false" ht="15" hidden="false" customHeight="false" outlineLevel="0" collapsed="false">
      <c r="B73" s="65" t="s">
        <v>532</v>
      </c>
    </row>
    <row r="74" customFormat="false" ht="15" hidden="false" customHeight="false" outlineLevel="0" collapsed="false">
      <c r="B74" s="21" t="s">
        <v>533</v>
      </c>
      <c r="D74" s="42" t="str">
        <f aca="false">Assumptions!D84</f>
        <v>OK</v>
      </c>
      <c r="E74" s="42" t="str">
        <f aca="false">Assumptions!E84</f>
        <v>OK</v>
      </c>
      <c r="F74" s="42" t="str">
        <f aca="false">Assumptions!F84</f>
        <v>OK</v>
      </c>
    </row>
    <row r="75" customFormat="false" ht="15" hidden="false" customHeight="false" outlineLevel="0" collapsed="false">
      <c r="B75" s="21" t="s">
        <v>534</v>
      </c>
      <c r="D75" s="42" t="str">
        <f aca="false">Assumptions!D85</f>
        <v>OK</v>
      </c>
      <c r="E75" s="42" t="str">
        <f aca="false">Assumptions!E85</f>
        <v>OK</v>
      </c>
      <c r="F75" s="42" t="str">
        <f aca="false">Assumptions!F85</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0"/>
    <col collapsed="false" customWidth="true" hidden="false" outlineLevel="0" max="3" min="3" style="0" width="110"/>
  </cols>
  <sheetData>
    <row r="1" customFormat="false" ht="16.15" hidden="false" customHeight="false" outlineLevel="0" collapsed="false">
      <c r="A1" s="5" t="s">
        <v>535</v>
      </c>
    </row>
    <row r="3" customFormat="false" ht="15" hidden="false" customHeight="false" outlineLevel="0" collapsed="false">
      <c r="A3" s="7" t="s">
        <v>25</v>
      </c>
      <c r="B3" s="7" t="s">
        <v>536</v>
      </c>
      <c r="C3" s="7" t="s">
        <v>537</v>
      </c>
    </row>
    <row r="4" customFormat="false" ht="39.75" hidden="false" customHeight="true" outlineLevel="0" collapsed="false">
      <c r="A4" s="11" t="s">
        <v>365</v>
      </c>
      <c r="B4" s="3" t="s">
        <v>538</v>
      </c>
      <c r="C4" s="74" t="s">
        <v>539</v>
      </c>
    </row>
    <row r="5" customFormat="false" ht="39.75" hidden="false" customHeight="true" outlineLevel="0" collapsed="false">
      <c r="A5" s="11" t="s">
        <v>310</v>
      </c>
      <c r="B5" s="3" t="s">
        <v>540</v>
      </c>
      <c r="C5" s="74" t="s">
        <v>541</v>
      </c>
    </row>
    <row r="6" customFormat="false" ht="39.75" hidden="false" customHeight="true" outlineLevel="0" collapsed="false">
      <c r="A6" s="11" t="s">
        <v>542</v>
      </c>
      <c r="B6" s="3" t="s">
        <v>543</v>
      </c>
      <c r="C6" s="74" t="s">
        <v>544</v>
      </c>
    </row>
    <row r="7" customFormat="false" ht="39.75" hidden="false" customHeight="true" outlineLevel="0" collapsed="false">
      <c r="A7" s="11" t="s">
        <v>304</v>
      </c>
      <c r="B7" s="3" t="s">
        <v>545</v>
      </c>
      <c r="C7" s="74" t="s">
        <v>546</v>
      </c>
    </row>
    <row r="8" customFormat="false" ht="39.75" hidden="false" customHeight="true" outlineLevel="0" collapsed="false">
      <c r="A8" s="11" t="s">
        <v>301</v>
      </c>
      <c r="B8" s="3" t="s">
        <v>547</v>
      </c>
      <c r="C8" s="74" t="s">
        <v>548</v>
      </c>
    </row>
    <row r="9" customFormat="false" ht="39.75" hidden="false" customHeight="true" outlineLevel="0" collapsed="false">
      <c r="A9" s="11" t="s">
        <v>549</v>
      </c>
      <c r="B9" s="3" t="s">
        <v>550</v>
      </c>
      <c r="C9" s="74" t="s">
        <v>551</v>
      </c>
    </row>
    <row r="10" customFormat="false" ht="39.75" hidden="false" customHeight="true" outlineLevel="0" collapsed="false">
      <c r="A10" s="11" t="s">
        <v>552</v>
      </c>
      <c r="B10" s="3" t="s">
        <v>553</v>
      </c>
      <c r="C10" s="74" t="s">
        <v>554</v>
      </c>
    </row>
    <row r="11" customFormat="false" ht="39.75" hidden="false" customHeight="true" outlineLevel="0" collapsed="false">
      <c r="A11" s="11" t="s">
        <v>555</v>
      </c>
      <c r="B11" s="3" t="s">
        <v>556</v>
      </c>
      <c r="C11" s="74" t="s">
        <v>557</v>
      </c>
    </row>
    <row r="12" customFormat="false" ht="39.75" hidden="false" customHeight="true" outlineLevel="0" collapsed="false">
      <c r="A12" s="11" t="s">
        <v>558</v>
      </c>
      <c r="B12" s="3" t="s">
        <v>559</v>
      </c>
      <c r="C12" s="74" t="s">
        <v>560</v>
      </c>
    </row>
    <row r="13" customFormat="false" ht="39.75" hidden="false" customHeight="true" outlineLevel="0" collapsed="false">
      <c r="A13" s="11" t="s">
        <v>344</v>
      </c>
      <c r="B13" s="3" t="s">
        <v>561</v>
      </c>
      <c r="C13" s="74" t="s">
        <v>562</v>
      </c>
    </row>
    <row r="14" customFormat="false" ht="39.75" hidden="false" customHeight="true" outlineLevel="0" collapsed="false">
      <c r="A14" s="11" t="s">
        <v>563</v>
      </c>
      <c r="B14" s="3" t="s">
        <v>564</v>
      </c>
      <c r="C14" s="74" t="s">
        <v>565</v>
      </c>
    </row>
    <row r="15" customFormat="false" ht="39.75" hidden="false" customHeight="true" outlineLevel="0" collapsed="false">
      <c r="A15" s="11" t="s">
        <v>566</v>
      </c>
      <c r="B15" s="3" t="s">
        <v>567</v>
      </c>
      <c r="C15" s="74" t="s">
        <v>568</v>
      </c>
    </row>
    <row r="16" customFormat="false" ht="39.75" hidden="false" customHeight="true" outlineLevel="0" collapsed="false">
      <c r="A16" s="11" t="s">
        <v>569</v>
      </c>
      <c r="B16" s="3" t="s">
        <v>570</v>
      </c>
      <c r="C16" s="74" t="s">
        <v>571</v>
      </c>
    </row>
    <row r="17" customFormat="false" ht="39.75" hidden="false" customHeight="true" outlineLevel="0" collapsed="false">
      <c r="A17" s="11" t="s">
        <v>572</v>
      </c>
      <c r="B17" s="3" t="s">
        <v>573</v>
      </c>
      <c r="C17" s="74" t="s">
        <v>574</v>
      </c>
    </row>
    <row r="18" customFormat="false" ht="39.75" hidden="false" customHeight="true" outlineLevel="0" collapsed="false">
      <c r="A18" s="11" t="s">
        <v>575</v>
      </c>
      <c r="B18" s="3" t="s">
        <v>576</v>
      </c>
      <c r="C18" s="74" t="s">
        <v>577</v>
      </c>
    </row>
    <row r="19" customFormat="false" ht="39.75" hidden="false" customHeight="true" outlineLevel="0" collapsed="false">
      <c r="A19" s="11" t="s">
        <v>578</v>
      </c>
      <c r="B19" s="3" t="s">
        <v>579</v>
      </c>
      <c r="C19" s="74" t="s">
        <v>580</v>
      </c>
    </row>
    <row r="20" customFormat="false" ht="39.75" hidden="false" customHeight="true" outlineLevel="0" collapsed="false">
      <c r="A20" s="11" t="s">
        <v>581</v>
      </c>
      <c r="B20" s="3" t="s">
        <v>582</v>
      </c>
      <c r="C20" s="74" t="s">
        <v>583</v>
      </c>
    </row>
    <row r="21" customFormat="false" ht="39.75" hidden="false" customHeight="true" outlineLevel="0" collapsed="false">
      <c r="A21" s="11" t="s">
        <v>584</v>
      </c>
      <c r="B21" s="3" t="s">
        <v>585</v>
      </c>
      <c r="C21" s="74" t="s">
        <v>586</v>
      </c>
    </row>
    <row r="22" customFormat="false" ht="39.75" hidden="false" customHeight="true" outlineLevel="0" collapsed="false">
      <c r="A22" s="11" t="s">
        <v>587</v>
      </c>
      <c r="B22" s="3" t="s">
        <v>588</v>
      </c>
      <c r="C22" s="74" t="s">
        <v>589</v>
      </c>
    </row>
    <row r="23" customFormat="false" ht="39.75" hidden="false" customHeight="true" outlineLevel="0" collapsed="false">
      <c r="A23" s="11" t="s">
        <v>590</v>
      </c>
      <c r="B23" s="3" t="s">
        <v>591</v>
      </c>
      <c r="C23" s="74" t="s">
        <v>592</v>
      </c>
    </row>
    <row r="24" customFormat="false" ht="39.75" hidden="false" customHeight="true" outlineLevel="0" collapsed="false">
      <c r="A24" s="11" t="s">
        <v>593</v>
      </c>
      <c r="B24" s="3" t="s">
        <v>594</v>
      </c>
      <c r="C24" s="74" t="s">
        <v>595</v>
      </c>
    </row>
    <row r="25" customFormat="false" ht="39.75" hidden="false" customHeight="true" outlineLevel="0" collapsed="false">
      <c r="A25" s="11" t="s">
        <v>596</v>
      </c>
      <c r="B25" s="3" t="s">
        <v>597</v>
      </c>
      <c r="C25" s="74" t="s">
        <v>598</v>
      </c>
    </row>
    <row r="26" customFormat="false" ht="39.75" hidden="false" customHeight="true" outlineLevel="0" collapsed="false">
      <c r="A26" s="11" t="s">
        <v>599</v>
      </c>
      <c r="B26" s="3" t="s">
        <v>600</v>
      </c>
      <c r="C26" s="74" t="s">
        <v>601</v>
      </c>
    </row>
    <row r="27" customFormat="false" ht="39.75" hidden="false" customHeight="true" outlineLevel="0" collapsed="false">
      <c r="A27" s="11" t="s">
        <v>602</v>
      </c>
      <c r="B27" s="3" t="s">
        <v>603</v>
      </c>
      <c r="C27" s="74" t="s">
        <v>604</v>
      </c>
    </row>
    <row r="28" customFormat="false" ht="39.75" hidden="false" customHeight="true" outlineLevel="0" collapsed="false">
      <c r="A28" s="11" t="s">
        <v>605</v>
      </c>
      <c r="B28" s="3" t="s">
        <v>606</v>
      </c>
      <c r="C28" s="74" t="s">
        <v>607</v>
      </c>
    </row>
    <row r="29" customFormat="false" ht="39.75" hidden="false" customHeight="true" outlineLevel="0" collapsed="false">
      <c r="A29" s="11" t="s">
        <v>608</v>
      </c>
      <c r="B29" s="3" t="s">
        <v>609</v>
      </c>
      <c r="C29" s="74" t="s">
        <v>610</v>
      </c>
    </row>
    <row r="30" customFormat="false" ht="39.75" hidden="false" customHeight="true" outlineLevel="0" collapsed="false">
      <c r="A30" s="11" t="s">
        <v>611</v>
      </c>
      <c r="B30" s="3" t="s">
        <v>612</v>
      </c>
      <c r="C30" s="74" t="s">
        <v>613</v>
      </c>
    </row>
    <row r="31" customFormat="false" ht="39.75" hidden="false" customHeight="true" outlineLevel="0" collapsed="false">
      <c r="A31" s="11" t="s">
        <v>614</v>
      </c>
      <c r="B31" s="3" t="s">
        <v>615</v>
      </c>
      <c r="C31" s="74" t="s">
        <v>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2026-10-27T05:04:45Z</dcterms:created>
  <dc:creator>openpyxl</dc:creator>
  <dc:description/>
  <dc:language>en-US</dc:language>
  <cp:lastModifiedBy/>
  <dcterms:modified xsi:type="dcterms:W3CDTF">2026-10-27T05:04:45Z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