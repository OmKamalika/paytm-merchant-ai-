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Baseline" sheetId="3" state="visible" r:id="rId5"/>
    <sheet name="Model" sheetId="4" state="visible" r:id="rId6"/>
    <sheet name="Summar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<sst xmlns="http://schemas.openxmlformats.org/spreadsheetml/2006/main" count="1876" uniqueCount="590">
  <si>
    <t xml:space="preserve">AI Munim, with Intent Guard: 8-quarter GMV and contribution projection (v2, clubhouse pricing)</t>
  </si>
  <si>
    <t xml:space="preserve">Paytm Build for India AI Hackathon, Mumbai | Track 1: Merchant Growth AI | Kamalika Poddar</t>
  </si>
  <si>
    <t xml:space="preserve">What this model does</t>
  </si>
  <si>
    <t xml:space="preserve">1. Baseline: Paytm merchant GMV and device merchants, projected with FORECAST (linear) on 8 reported quarters, Q2 FY25 to Q1 FY27. GROWTH (exponential) is shown alongside as a cross-check.</t>
  </si>
  <si>
    <t xml:space="preserve">2. AI Munim: an AI munim in the Paytm for Business app. Built for owners of 2-5 outlets, open to every merchant from one shop to a chain. It reads Paytm collections per outlet, bank statements and GST returns through the Account Aggregator (PPSL as FIU) and cash expenses logged by voice. It gives profit per outlet, a 90-day cash plan and shift checks, and acts only inside the owner's mandate (Intent Guard).</t>
  </si>
  <si>
    <t xml:space="preserve">3. Pricing, the clubhouse: a monthly membership per business that includes the first 5 outlets; per-outlet add-ons in slabs above that (outlets 6-10, 11-20, 21+); and utility fees: a shift-check pass per outlet and a CA pack per business. Billed on its own in the Business app, with a notice before every charge. Not bundled with the Soundbox.</t>
  </si>
  <si>
    <t xml:space="preserve">4. Capital tab: pre-approved lines from lending partners, open to every merchant, member or not. Lenders pay Paytm; merchants pay Paytm nothing for credit. Only drawdowns prompted by a member's cash plan are counted here; the rest is Paytm's existing lending.</t>
  </si>
  <si>
    <t xml:space="preserve">5. Businesses are modelled in four size bands (1 outlet, 2-5, 6-20, 21+), each with its own share of device merchants, outlets and adoption.</t>
  </si>
  <si>
    <t xml:space="preserve">6. Outputs: incremental GMV and contribution for 8 quarters from Q4 FY27 (Jan-Mar 2027 Mumbai pilot) to Q3 FY29, in three scenarios (Bear, Base, Bull).</t>
  </si>
  <si>
    <t xml:space="preserve">How to use it</t>
  </si>
  <si>
    <t xml:space="preserve">Change blue cells on Assumptions (and reported actuals on Baseline). Every other number is a formula and recalculates.</t>
  </si>
  <si>
    <t xml:space="preserve">Colour code: blue text = input | black text = formula | green text = link to another sheet | yellow fill = key assumption.</t>
  </si>
  <si>
    <t xml:space="preserve">Units: lakh = 1,00,000 | crore = 1,00,00,000 | Rs 1 lakh crore = Rs 1,00,000 crore. Quarters follow India's April-March fiscal year. Prices exclude GST.</t>
  </si>
  <si>
    <t xml:space="preserve">Contribution = revenue - variable costs. Fixed engineering and platform costs are excluded: this is contribution, not EBITDA.</t>
  </si>
  <si>
    <t xml:space="preserve">Metrics</t>
  </si>
  <si>
    <t xml:space="preserve">North Star (merchant): net gain per paying outlet per month for a 2-5 outlet member with the shift-check pass (leakage recovered + extra margin from the cash plan - fees).</t>
  </si>
  <si>
    <t xml:space="preserve">Paytm co-metric: contribution per member outlet per month.</t>
  </si>
  <si>
    <t xml:space="preserve">Guardrails: repayment of drawdowns (partners' overdue rates), consent revocations, false alarms on shift checks, billing complaints.</t>
  </si>
  <si>
    <t xml:space="preserve">Pilot gates (team proposal): go national after the Q4 FY27 Mumbai pilot only if</t>
  </si>
  <si>
    <t xml:space="preserve">1. At least 7% of 2-5 outlet businesses reached are paying after two quarters (base assumption: 10%).</t>
  </si>
  <si>
    <t xml:space="preserve">2. Net gain for 2-5 outlet members with the pass is at least Rs 1,000 per outlet per month against matched outlets without the Munim.</t>
  </si>
  <si>
    <t xml:space="preserve">3. Shift checks: no more than 1 in 5 flags dismissed by owners as false alarms.</t>
  </si>
  <si>
    <t xml:space="preserve">4. Drawdowns: partners' 30+ days overdue no worse than their own merchant-loan book.</t>
  </si>
  <si>
    <t xml:space="preserve">5. Single-outlet shops: at least 0.5% of those reached in the app are paying; below that, keep the membership in the app with no paid acquisition.</t>
  </si>
  <si>
    <t xml:space="preserve">Sheets</t>
  </si>
  <si>
    <t xml:space="preserve">Assumptions: every input with Bear/Base/Bull values and the reason or source; rollout ramp; structural rules.</t>
  </si>
  <si>
    <t xml:space="preserve">Baseline: reported quarterly actuals with sources, FORECAST baseline, GROWTH cross-check, Q1 FY27 reference figures, earlier versions and options.</t>
  </si>
  <si>
    <t xml:space="preserve">Model: quarter-by-quarter build for each scenario, by size band, then totals.</t>
  </si>
  <si>
    <t xml:space="preserve">Summary: base-case quarter table, scenarios side by side, results by band, what a business pays, context, checks.</t>
  </si>
  <si>
    <t xml:space="preserve">Sources: links for every reported number.</t>
  </si>
  <si>
    <t xml:space="preserve">Caveat: reported figures come from Paytm's disclosures, regulators and press coverage (see Sources). Everything else on Assumptions is a team estimate for a hackathon pitch, not Paytm data. Paytm's own data (PANs by number of outlet IDs, device churn, lending take rates, enterprise book) would replace several estimates directly.</t>
  </si>
  <si>
    <t xml:space="preserve">Assumptions: AI Munim, with Intent Guard (v2, clubhouse pricing)</t>
  </si>
  <si>
    <t xml:space="preserve">Blue cells are inputs. Bear / Base / Bull columns feed the three scenario blocks on the Model sheet. Team estimates unless a source is named (Sources sheet). Prices are per month, excluding GST.</t>
  </si>
  <si>
    <t xml:space="preserve">ID</t>
  </si>
  <si>
    <t xml:space="preserve">Assumption</t>
  </si>
  <si>
    <t xml:space="preserve">Unit</t>
  </si>
  <si>
    <t xml:space="preserve">Bear</t>
  </si>
  <si>
    <t xml:space="preserve">Base</t>
  </si>
  <si>
    <t xml:space="preserve">Bull</t>
  </si>
  <si>
    <t xml:space="preserve">Why this number / source</t>
  </si>
  <si>
    <t xml:space="preserve">Common</t>
  </si>
  <si>
    <t xml:space="preserve">K1</t>
  </si>
  <si>
    <t xml:space="preserve">Payment processing margin on incremental GMV</t>
  </si>
  <si>
    <t xml:space="preserve">% of GMV</t>
  </si>
  <si>
    <t xml:space="preserve">Paytm Q1 FY27: payment processing margin 'comfortably above 4 bps' (S1, S10). Held at 4 bps in all scenarios.</t>
  </si>
  <si>
    <t xml:space="preserve">K2</t>
  </si>
  <si>
    <t xml:space="preserve">Paytm-processed GMV per outlet, multi-outlet members, before the Munim</t>
  </si>
  <si>
    <t xml:space="preserve">Rs / month</t>
  </si>
  <si>
    <t xml:space="preserve">Team estimate: outlets of multi-outlet businesses run busier counters than the average device merchant. Ceiling check on Baseline: ~Rs 1.5 lakh a month if all GMV came from device merchants.</t>
  </si>
  <si>
    <t xml:space="preserve">K3</t>
  </si>
  <si>
    <t xml:space="preserve">Paytm-processed GMV of a single-outlet member, before the Munim</t>
  </si>
  <si>
    <t xml:space="preserve">Team estimate: below the multi-outlet figure and well under the ~Rs 1.5 lakh ceiling.</t>
  </si>
  <si>
    <t xml:space="preserve">K4</t>
  </si>
  <si>
    <t xml:space="preserve">Device subscription revenue per outlet</t>
  </si>
  <si>
    <t xml:space="preserve">~Rs 90 per device a month in Q4 FY24 (S8); the Q1 FY27 release notes a modest YoY decline per device (S1).</t>
  </si>
  <si>
    <t xml:space="preserve">Who could join: businesses by size, as a share of device merchants</t>
  </si>
  <si>
    <t xml:space="preserve">S1</t>
  </si>
  <si>
    <t xml:space="preserve">Single-outlet businesses</t>
  </si>
  <si>
    <t xml:space="preserve">% of device merchants</t>
  </si>
  <si>
    <t xml:space="preserve">Team estimate. The rest of the count is multi-outlet businesses and second devices at the same counter (check on Summary).</t>
  </si>
  <si>
    <t xml:space="preserve">S2</t>
  </si>
  <si>
    <t xml:space="preserve">Businesses running 2-5 outlets</t>
  </si>
  <si>
    <t xml:space="preserve">Team estimate. At base, 4 businesses per 100 device merchants x 2.5 outlets = about 10 of every 100 devices. Paytm can replace this with its count of PANs with 2-5 outlet IDs.</t>
  </si>
  <si>
    <t xml:space="preserve">S3</t>
  </si>
  <si>
    <t xml:space="preserve">Businesses running 6-20 outlets</t>
  </si>
  <si>
    <t xml:space="preserve">Team estimate: small chains.</t>
  </si>
  <si>
    <t xml:space="preserve">S4</t>
  </si>
  <si>
    <t xml:space="preserve">Businesses running 21 or more outlets (enterprise)</t>
  </si>
  <si>
    <t xml:space="preserve">Team estimate: about 2,200 chains at base by Q3 FY29. Paytm's enterprise book would replace this.</t>
  </si>
  <si>
    <t xml:space="preserve">S5</t>
  </si>
  <si>
    <t xml:space="preserve">Average outlets, 2-5 band</t>
  </si>
  <si>
    <t xml:space="preserve">outlets</t>
  </si>
  <si>
    <t xml:space="preserve">Team estimate.</t>
  </si>
  <si>
    <t xml:space="preserve">S6</t>
  </si>
  <si>
    <t xml:space="preserve">Average outlets, 6-20 band</t>
  </si>
  <si>
    <t xml:space="preserve">S7</t>
  </si>
  <si>
    <t xml:space="preserve">Average outlets, 21+ band</t>
  </si>
  <si>
    <t xml:space="preserve">Who pays: paying members as a share of businesses reached</t>
  </si>
  <si>
    <t xml:space="preserve">A1</t>
  </si>
  <si>
    <t xml:space="preserve">% of reached</t>
  </si>
  <si>
    <t xml:space="preserve">Team estimate. A single shop gets less from the Munim (most owners run their own counter), so few pay. Reached in the app at little cost.</t>
  </si>
  <si>
    <t xml:space="preserve">A2</t>
  </si>
  <si>
    <t xml:space="preserve">2-5 outlet businesses</t>
  </si>
  <si>
    <t xml:space="preserve">Team estimate, unchanged from the flat-price version even though this band now pays less (an upside we don't count). Paid from day one; no free tier.</t>
  </si>
  <si>
    <t xml:space="preserve">A3</t>
  </si>
  <si>
    <t xml:space="preserve">6-20 outlet businesses</t>
  </si>
  <si>
    <t xml:space="preserve">A4</t>
  </si>
  <si>
    <t xml:space="preserve">21+ outlet businesses (enterprise)</t>
  </si>
  <si>
    <t xml:space="preserve">Team estimate. Enterprise deals are sales-led and slow; many chains already run an ERP.</t>
  </si>
  <si>
    <t xml:space="preserve">A5</t>
  </si>
  <si>
    <t xml:space="preserve">Extra outlets opened per 100 paying businesses per year (cash plan and credit)</t>
  </si>
  <si>
    <t xml:space="preserve">per 100 / year</t>
  </si>
  <si>
    <t xml:space="preserve">Team estimate. New outlets come onto a Paytm device and the Munim.</t>
  </si>
  <si>
    <t xml:space="preserve">Pricing: the clubhouse (per month, excluding GST)</t>
  </si>
  <si>
    <t xml:space="preserve">P1</t>
  </si>
  <si>
    <t xml:space="preserve">Membership per business, includes the first 5 outlets</t>
  </si>
  <si>
    <t xml:space="preserve">The membership: outlet view, staff roles, profit per outlet, 90-day cash plan, Intent Guard, evidence log. Anchors: the earlier flat price of Rs 199 per outlet; Soundbox rental runs Rs 125-150 (S7).</t>
  </si>
  <si>
    <t xml:space="preserve">P2</t>
  </si>
  <si>
    <t xml:space="preserve">Add-on per outlet, outlets 6-10</t>
  </si>
  <si>
    <t xml:space="preserve">Rs / outlet / month</t>
  </si>
  <si>
    <t xml:space="preserve">Kept small so the step after 5 included outlets is gentle.</t>
  </si>
  <si>
    <t xml:space="preserve">P3</t>
  </si>
  <si>
    <t xml:space="preserve">Add-on per outlet, outlets 11-20</t>
  </si>
  <si>
    <t xml:space="preserve">P4</t>
  </si>
  <si>
    <t xml:space="preserve">Add-on per outlet, outlets 21 and above</t>
  </si>
  <si>
    <t xml:space="preserve">List price. Chains this size will negotiate.</t>
  </si>
  <si>
    <t xml:space="preserve">P5</t>
  </si>
  <si>
    <t xml:space="preserve">Shift-check pass, per outlet</t>
  </si>
  <si>
    <t xml:space="preserve">Utility fee, unlimited checks. Priced above its own AI and photo-check cost.</t>
  </si>
  <si>
    <t xml:space="preserve">P6</t>
  </si>
  <si>
    <t xml:space="preserve">Pass uptake, single-outlet members</t>
  </si>
  <si>
    <t xml:space="preserve">% of outlets</t>
  </si>
  <si>
    <t xml:space="preserve">Team estimate: most single shops are run by the owner.</t>
  </si>
  <si>
    <t xml:space="preserve">P7</t>
  </si>
  <si>
    <t xml:space="preserve">Pass uptake, multi-outlet members</t>
  </si>
  <si>
    <t xml:space="preserve">Team estimate: staffed counters are where shift checks matter.</t>
  </si>
  <si>
    <t xml:space="preserve">P8</t>
  </si>
  <si>
    <t xml:space="preserve">CA pack, per business</t>
  </si>
  <si>
    <t xml:space="preserve">Utility fee: a books-ready monthly pack (charges by payment type, GST for input credit) for the business's CA.</t>
  </si>
  <si>
    <t xml:space="preserve">P9</t>
  </si>
  <si>
    <t xml:space="preserve">CA pack uptake</t>
  </si>
  <si>
    <t xml:space="preserve">% of members</t>
  </si>
  <si>
    <t xml:space="preserve">Capital tab: open to every merchant; only drawdowns prompted by a member's cash plan are counted</t>
  </si>
  <si>
    <t xml:space="preserve">C1</t>
  </si>
  <si>
    <t xml:space="preserve">Members with a pre-approved line (1-20 outlets; chains of 21+ use their bank limits)</t>
  </si>
  <si>
    <t xml:space="preserve">The lender takes its own AA consent and runs its rules engine upfront. Benchmark: public-sector banks' digital MSME model approved ~47% of applications in Apr-Oct FY26 (S12).</t>
  </si>
  <si>
    <t xml:space="preserve">C2</t>
  </si>
  <si>
    <t xml:space="preserve">Drawdowns per year per member with a line</t>
  </si>
  <si>
    <t xml:space="preserve">per year</t>
  </si>
  <si>
    <t xml:space="preserve">Team estimate: festive stock-ups, wedding season, a new outlet.</t>
  </si>
  <si>
    <t xml:space="preserve">C3</t>
  </si>
  <si>
    <t xml:space="preserve">Average drawdown, per outlet of the business</t>
  </si>
  <si>
    <t xml:space="preserve">Rs per outlet</t>
  </si>
  <si>
    <t xml:space="preserve">Team estimate: Rs 2 lakh for a 2.5-outlet business at base, as in v1. Paytm business loans run up to Rs 10 lakh over 3-36 months (S29).</t>
  </si>
  <si>
    <t xml:space="preserve">C4</t>
  </si>
  <si>
    <t xml:space="preserve">Paytm revenue per drawdown (distribution and collection support), paid by the lender</t>
  </si>
  <si>
    <t xml:space="preserve">% of drawdown</t>
  </si>
  <si>
    <t xml:space="preserve">Team estimate. Paytm doesn't publish take rates. Under RBI's digital lending rules the lender pays this, never the borrower (S30).</t>
  </si>
  <si>
    <t xml:space="preserve">C5</t>
  </si>
  <si>
    <t xml:space="preserve">Collection and servicing per drawdown (reminders, repayment follow-up)</t>
  </si>
  <si>
    <t xml:space="preserve">Team estimate. The support Paytm is paid for (C4) has its own cost.</t>
  </si>
  <si>
    <t xml:space="preserve">C6</t>
  </si>
  <si>
    <t xml:space="preserve">Paytm credit-loss sharing</t>
  </si>
  <si>
    <t xml:space="preserve">Team estimate. RBI caps default-loss guarantees at 5% of a loan portfolio (S26); whether Paytm offers one isn't public.</t>
  </si>
  <si>
    <t xml:space="preserve">Growth levers (applied to the Paytm GMV of member outlets)</t>
  </si>
  <si>
    <t xml:space="preserve">G1</t>
  </si>
  <si>
    <t xml:space="preserve">Sales increase from the cash plan (stock ready before peaks)</t>
  </si>
  <si>
    <t xml:space="preserve">% of sales</t>
  </si>
  <si>
    <t xml:space="preserve">Team estimate, tested against matched outlets without the Munim.</t>
  </si>
  <si>
    <t xml:space="preserve">G2</t>
  </si>
  <si>
    <t xml:space="preserve">Collections moved to Paytm's outlet QRs (multi-outlet members)</t>
  </si>
  <si>
    <t xml:space="preserve">% of Paytm GMV</t>
  </si>
  <si>
    <t xml:space="preserve">Owners route more sales to Paytm's outlet-tagged QRs because that makes outlet profit exact; other QRs only appear business-wide in bank data.</t>
  </si>
  <si>
    <t xml:space="preserve">G3</t>
  </si>
  <si>
    <t xml:space="preserve">Leakage recovered that lands on Paytm (outlets with the pass)</t>
  </si>
  <si>
    <t xml:space="preserve">Team estimate: shift checks make unrecorded sales visible.</t>
  </si>
  <si>
    <t xml:space="preserve">G4</t>
  </si>
  <si>
    <t xml:space="preserve">Drop in annual device churn for member outlets</t>
  </si>
  <si>
    <t xml:space="preserve">percentage points / year</t>
  </si>
  <si>
    <t xml:space="preserve">Team estimate. Paytm does not disclose device churn.</t>
  </si>
  <si>
    <t xml:space="preserve">Costs</t>
  </si>
  <si>
    <t xml:space="preserve">V1</t>
  </si>
  <si>
    <t xml:space="preserve">AI per member outlet (cash plan, voice, bank narrations, shift forecasts)</t>
  </si>
  <si>
    <t xml:space="preserve">V2</t>
  </si>
  <si>
    <t xml:space="preserve">Shift handovers per outlet per day</t>
  </si>
  <si>
    <t xml:space="preserve">per day</t>
  </si>
  <si>
    <t xml:space="preserve">Two shifts a day.</t>
  </si>
  <si>
    <t xml:space="preserve">V3</t>
  </si>
  <si>
    <t xml:space="preserve">Photo check per handover (2-3 high-value shelves)</t>
  </si>
  <si>
    <t xml:space="preserve">Rs per handover</t>
  </si>
  <si>
    <t xml:space="preserve">V4</t>
  </si>
  <si>
    <t xml:space="preserve">Account Aggregator data per business (bank daily, GST monthly)</t>
  </si>
  <si>
    <t xml:space="preserve">Team estimate. AAs charge FIUs per fetch.</t>
  </si>
  <si>
    <t xml:space="preserve">V5</t>
  </si>
  <si>
    <t xml:space="preserve">Support per member outlet</t>
  </si>
  <si>
    <t xml:space="preserve">Team estimate: Rs 30 for a 2.5-outlet business at base, as in v1; scales with outlets for chains.</t>
  </si>
  <si>
    <t xml:space="preserve">V6</t>
  </si>
  <si>
    <t xml:space="preserve">Onboarding per new member business (consents, rules, roles)</t>
  </si>
  <si>
    <t xml:space="preserve">Rs per business</t>
  </si>
  <si>
    <t xml:space="preserve">V7</t>
  </si>
  <si>
    <t xml:space="preserve">Onboarding per outlet of a new member (mapping QRs and devices)</t>
  </si>
  <si>
    <t xml:space="preserve">Team estimate: Rs 500 for a 2.5-outlet business at base, as in v1.</t>
  </si>
  <si>
    <t xml:space="preserve">V8</t>
  </si>
  <si>
    <t xml:space="preserve">Sales and integration per new enterprise member (21+ outlets)</t>
  </si>
  <si>
    <t xml:space="preserve">Merchant view</t>
  </si>
  <si>
    <t xml:space="preserve">MV1</t>
  </si>
  <si>
    <t xml:space="preserve">Sales per outlet, 2-5 outlet member (all channels, including cash)</t>
  </si>
  <si>
    <t xml:space="preserve">MV2</t>
  </si>
  <si>
    <t xml:space="preserve">Sales of a single-outlet member (all channels)</t>
  </si>
  <si>
    <t xml:space="preserve">MV3</t>
  </si>
  <si>
    <t xml:space="preserve">Gross margin</t>
  </si>
  <si>
    <t xml:space="preserve">Kirana margins run ~5-10% on national brands and 10-18% on regional brands (S14); multi-category shops sit higher.</t>
  </si>
  <si>
    <t xml:space="preserve">MV4</t>
  </si>
  <si>
    <t xml:space="preserve">Leakage recovered with the shift-check pass</t>
  </si>
  <si>
    <t xml:space="preserve">Team estimate. Shown in the product as a range, never as an accusation; tested in the pilot.</t>
  </si>
  <si>
    <t xml:space="preserve">Rollout ramp (Paytm controls the pace, so the same in all scenarios and all bands)</t>
  </si>
  <si>
    <t xml:space="preserve">Quarter</t>
  </si>
  <si>
    <t xml:space="preserve">Q4 FY27</t>
  </si>
  <si>
    <t xml:space="preserve">Q1 FY28</t>
  </si>
  <si>
    <t xml:space="preserve">Q2 FY28</t>
  </si>
  <si>
    <t xml:space="preserve">Q3 FY28</t>
  </si>
  <si>
    <t xml:space="preserve">Q4 FY28</t>
  </si>
  <si>
    <t xml:space="preserve">Q1 FY29</t>
  </si>
  <si>
    <t xml:space="preserve">Q2 FY29</t>
  </si>
  <si>
    <t xml:space="preserve">Q3 FY29</t>
  </si>
  <si>
    <t xml:space="preserve">MR</t>
  </si>
  <si>
    <t xml:space="preserve">Share of businesses the Munim reaches</t>
  </si>
  <si>
    <t xml:space="preserve">% of businesses</t>
  </si>
  <si>
    <t xml:space="preserve">Q4 FY27 Mumbai pilot; then national: in-app for single shops, Paytm's field force for multi-outlet owners, sales for chains.</t>
  </si>
  <si>
    <t xml:space="preserve">Structural rules built into the formulas</t>
  </si>
  <si>
    <t xml:space="preserve">Rule 1</t>
  </si>
  <si>
    <t xml:space="preserve">Paying members = businesses in the band x share reached x adoption. Outlets = members x average outlets in the band (1 for single shops), plus extra outlets opened.</t>
  </si>
  <si>
    <t xml:space="preserve">Rule 2</t>
  </si>
  <si>
    <t xml:space="preserve">Each member pays the membership (first 5 outlets included) plus outlet add-ons by slab: outlets 6-10 at P2, 11-20 at P3, 21+ at P4, worked out on the band's average outlet count.</t>
  </si>
  <si>
    <t xml:space="preserve">Rule 3</t>
  </si>
  <si>
    <t xml:space="preserve">Utility fees are optional: the shift-check pass per outlet (P5, taken by P6/P7 of outlets) and the CA pack per business (P8, taken by P9 of members).</t>
  </si>
  <si>
    <t xml:space="preserve">Rule 4</t>
  </si>
  <si>
    <t xml:space="preserve">The Capital tab is open to every merchant and never needs a membership. Only drawdowns by members with a line, prompted by their cash plan, are counted. Chains of 21+ outlets use their bank limits. Paytm's share is paid by the lender (C4).</t>
  </si>
  <si>
    <t xml:space="preserve">Rule 5</t>
  </si>
  <si>
    <t xml:space="preserve">GMV levers apply to the Paytm GMV of member outlets. Collections moved to outlet QRs apply to multi-outlet members only; leakage recovered applies to outlets with the pass only. Supplier payments made from drawdowns are not GMV.</t>
  </si>
  <si>
    <t xml:space="preserve">Rule 6</t>
  </si>
  <si>
    <t xml:space="preserve">Outlets kept by lower device churn and extra outlets opened are cumulative; they carry device subscription revenue (K4).</t>
  </si>
  <si>
    <t xml:space="preserve">Rule 7</t>
  </si>
  <si>
    <t xml:space="preserve">Baseline GMV and device merchants use FORECAST (linear) on 8 reported quarters; GROWTH (exponential) is a cross-check.</t>
  </si>
  <si>
    <t xml:space="preserve">Rule 8</t>
  </si>
  <si>
    <t xml:space="preserve">Contribution = revenue - variable costs. Fixed engineering, platform and field-force salary costs are excluded.</t>
  </si>
  <si>
    <t xml:space="preserve">Baseline: Paytm merchant GMV and device merchants</t>
  </si>
  <si>
    <t xml:space="preserve">Rows 5-12 are reported actuals (blue). Rows 13-22 are FORECAST (linear) on those 8 quarters. Column G is GROWTH (exponential) as a cross-check. The model uses the linear forecast.</t>
  </si>
  <si>
    <t xml:space="preserve">x (period)</t>
  </si>
  <si>
    <t xml:space="preserve">Months</t>
  </si>
  <si>
    <t xml:space="preserve">Type</t>
  </si>
  <si>
    <t xml:space="preserve">Merchant GMV (Rs lakh crore)</t>
  </si>
  <si>
    <t xml:space="preserve">GMV YoY</t>
  </si>
  <si>
    <t xml:space="preserve">Cross-check: GROWTH (Rs lakh crore)</t>
  </si>
  <si>
    <t xml:space="preserve">Device merchants (crore)</t>
  </si>
  <si>
    <t xml:space="preserve">Source / method</t>
  </si>
  <si>
    <t xml:space="preserve">Q2 FY25</t>
  </si>
  <si>
    <t xml:space="preserve">Jul-Sep 2024</t>
  </si>
  <si>
    <t xml:space="preserve">Actual</t>
  </si>
  <si>
    <t xml:space="preserve">GMV: S5 (Q3 FY25 GMV up 13% QoQ from Rs 4.5 lakh crore). Device merchants: derived, 1.17 crore at Dec-24 minus 5 lakh added that quarter (S5).</t>
  </si>
  <si>
    <t xml:space="preserve">Q3 FY25</t>
  </si>
  <si>
    <t xml:space="preserve">Oct-Dec 2024</t>
  </si>
  <si>
    <t xml:space="preserve">Q4 FY25</t>
  </si>
  <si>
    <t xml:space="preserve">Jan-Mar 2025</t>
  </si>
  <si>
    <t xml:space="preserve">Q1 FY26</t>
  </si>
  <si>
    <t xml:space="preserve">Apr-Jun 2025</t>
  </si>
  <si>
    <t xml:space="preserve">S1 (Jun-25 column of the Q1 FY27 release)</t>
  </si>
  <si>
    <t xml:space="preserve">Q2 FY26</t>
  </si>
  <si>
    <t xml:space="preserve">Jul-Sep 2025</t>
  </si>
  <si>
    <t xml:space="preserve">Q3 FY26</t>
  </si>
  <si>
    <t xml:space="preserve">Oct-Dec 2025</t>
  </si>
  <si>
    <t xml:space="preserve">GMV: S3. Device merchants: S6</t>
  </si>
  <si>
    <t xml:space="preserve">Q4 FY26</t>
  </si>
  <si>
    <t xml:space="preserve">Jan-Mar 2026</t>
  </si>
  <si>
    <t xml:space="preserve">S1 (Mar-26 column)</t>
  </si>
  <si>
    <t xml:space="preserve">Q1 FY27</t>
  </si>
  <si>
    <t xml:space="preserve">Apr-Jun 2026</t>
  </si>
  <si>
    <t xml:space="preserve">S1, S10</t>
  </si>
  <si>
    <t xml:space="preserve">Q2 FY27</t>
  </si>
  <si>
    <t xml:space="preserve">Jul-Sep 2026</t>
  </si>
  <si>
    <t xml:space="preserve">Forecast</t>
  </si>
  <si>
    <t xml:space="preserve">FORECAST (linear) on rows 5-12. Not yet reported; bridges to the projection window.</t>
  </si>
  <si>
    <t xml:space="preserve">Q3 FY27</t>
  </si>
  <si>
    <t xml:space="preserve">Oct-Dec 2026</t>
  </si>
  <si>
    <t xml:space="preserve">Jan-Mar 2027</t>
  </si>
  <si>
    <t xml:space="preserve">FORECAST (linear) on rows 5-12</t>
  </si>
  <si>
    <t xml:space="preserve">Apr-Jun 2027</t>
  </si>
  <si>
    <t xml:space="preserve">Jul-Sep 2027</t>
  </si>
  <si>
    <t xml:space="preserve">Oct-Dec 2027</t>
  </si>
  <si>
    <t xml:space="preserve">Jan-Mar 2028</t>
  </si>
  <si>
    <t xml:space="preserve">Apr-Jun 2028</t>
  </si>
  <si>
    <t xml:space="preserve">Jul-Sep 2028</t>
  </si>
  <si>
    <t xml:space="preserve">Oct-Dec 2028</t>
  </si>
  <si>
    <t xml:space="preserve">Reported reference points (Q1 FY27, quarter ended 30 June 2026), checks, earlier versions and options</t>
  </si>
  <si>
    <t xml:space="preserve">Revenue from operations</t>
  </si>
  <si>
    <t xml:space="preserve">Rs crore</t>
  </si>
  <si>
    <t xml:space="preserve">S10 (up 28% YoY)</t>
  </si>
  <si>
    <t xml:space="preserve">Contribution profit</t>
  </si>
  <si>
    <t xml:space="preserve">S10 (up 17% YoY)</t>
  </si>
  <si>
    <t xml:space="preserve">Contribution margin</t>
  </si>
  <si>
    <t xml:space="preserve">% of revenue</t>
  </si>
  <si>
    <t xml:space="preserve">S10</t>
  </si>
  <si>
    <t xml:space="preserve">EBITDA</t>
  </si>
  <si>
    <t xml:space="preserve">S10 (8% margin)</t>
  </si>
  <si>
    <t xml:space="preserve">Profit after tax</t>
  </si>
  <si>
    <t xml:space="preserve">S10 (up 79% YoY)</t>
  </si>
  <si>
    <t xml:space="preserve">Financial services revenue (merchant loans, personal loans, insurance distribution)</t>
  </si>
  <si>
    <t xml:space="preserve">S10 (up 45% YoY)</t>
  </si>
  <si>
    <t xml:space="preserve">Net payment revenue, excluding PIDF</t>
  </si>
  <si>
    <t xml:space="preserve">Net payment revenue per Rs of GMV</t>
  </si>
  <si>
    <t xml:space="preserve">bps</t>
  </si>
  <si>
    <t xml:space="preserve">Formula. Paytm reports 8.4 bps (S1).</t>
  </si>
  <si>
    <t xml:space="preserve">Ceiling: GMV per device merchant per month if all GMV came from device merchants</t>
  </si>
  <si>
    <t xml:space="preserve">Formula. Upper bound used to sanity-check K2 and K3.</t>
  </si>
  <si>
    <t xml:space="preserve">Q3 FY29 baseline: GROWTH cross-check vs FORECAST</t>
  </si>
  <si>
    <t xml:space="preserve">% above linear</t>
  </si>
  <si>
    <t xml:space="preserve">Formula. How conservative the linear baseline is.</t>
  </si>
  <si>
    <t xml:space="preserve">Previous version of this model (flat Rs 199 per outlet, 2-5 outlet businesses only): base contribution over the same 8 quarters</t>
  </si>
  <si>
    <t xml:space="preserve">AI_Munim_Projection.xlsx v1, Summary, base case.</t>
  </si>
  <si>
    <t xml:space="preserve">Previous version of this model: base incremental GMV over the same 8 quarters</t>
  </si>
  <si>
    <t xml:space="preserve">Earlier option, dropped: Mohalla Network, base contribution over the same 8 quarters</t>
  </si>
  <si>
    <t xml:space="preserve">Mohalla_GMV_Projection.xlsx, Summary, base case.</t>
  </si>
  <si>
    <t xml:space="preserve">Earlier option, parked: Restock Agent, base contribution over the same 8 quarters</t>
  </si>
  <si>
    <t xml:space="preserve">Restock_Care_Projection.xlsx, Summary, base case.</t>
  </si>
  <si>
    <t xml:space="preserve">Earlier option, parked: Restock Agent, supplier payments new to Paytm over the same 8 quarters</t>
  </si>
  <si>
    <t xml:space="preserve">Restock_Care_Projection.xlsx, Summary, base case (5.35 lakh active grocery shops).</t>
  </si>
  <si>
    <t xml:space="preserve">Earlier option, folded in: Soundbox Care, base contribution over the same 8 quarters</t>
  </si>
  <si>
    <t xml:space="preserve">Restock_Care_Projection.xlsx, Summary, base case (mostly Paytm's own device-service savings).</t>
  </si>
  <si>
    <t xml:space="preserve">Model: AI Munim, with Intent Guard, quarter by quarter, by business size</t>
  </si>
  <si>
    <t xml:space="preserve">Every cell is a formula. Assumption references: Bear = Assumptions column D, Base = E, Bull = F. Column L sums flows over the 8 quarters; stock rows show Q3 FY29; ratio rows divide the 8-quarter totals.</t>
  </si>
  <si>
    <t xml:space="preserve">#</t>
  </si>
  <si>
    <t xml:space="preserve">8-qtr total</t>
  </si>
  <si>
    <t xml:space="preserve">Baseline period index (x)</t>
  </si>
  <si>
    <t xml:space="preserve">BEAR scenario (Assumptions column D)</t>
  </si>
  <si>
    <t xml:space="preserve">Device merchants and rollout</t>
  </si>
  <si>
    <t xml:space="preserve">Device merchants, baseline</t>
  </si>
  <si>
    <t xml:space="preserve">lakh</t>
  </si>
  <si>
    <t xml:space="preserve">Share of businesses reached (rollout)</t>
  </si>
  <si>
    <t xml:space="preserve">Band 1: Single-outlet businesses</t>
  </si>
  <si>
    <t xml:space="preserve">Businesses in this band</t>
  </si>
  <si>
    <t xml:space="preserve">Paying members</t>
  </si>
  <si>
    <t xml:space="preserve">New paying members</t>
  </si>
  <si>
    <t xml:space="preserve">Member outlets</t>
  </si>
  <si>
    <t xml:space="preserve">Extra outlets opened (cumulative)</t>
  </si>
  <si>
    <t xml:space="preserve">Member outlets, including new ones</t>
  </si>
  <si>
    <t xml:space="preserve">Outlets with the shift-check pass</t>
  </si>
  <si>
    <t xml:space="preserve">Members with a pre-approved line</t>
  </si>
  <si>
    <t xml:space="preserve">Drawdowns prompted by the cash plan</t>
  </si>
  <si>
    <t xml:space="preserve">Drawdown value</t>
  </si>
  <si>
    <t xml:space="preserve">Paytm GMV of member outlets before the Munim (reference)</t>
  </si>
  <si>
    <t xml:space="preserve">GMV: extra sales from the cash plan</t>
  </si>
  <si>
    <t xml:space="preserve">GMV: leakage recovered (outlets with the pass)</t>
  </si>
  <si>
    <t xml:space="preserve">Outlets kept by lower device churn (cumulative)</t>
  </si>
  <si>
    <t xml:space="preserve">GMV: kept by lower device churn</t>
  </si>
  <si>
    <t xml:space="preserve">GMV: extra outlets opened</t>
  </si>
  <si>
    <t xml:space="preserve">Incremental GMV</t>
  </si>
  <si>
    <t xml:space="preserve">Revenue: membership</t>
  </si>
  <si>
    <t xml:space="preserve">Revenue: shift-check passes</t>
  </si>
  <si>
    <t xml:space="preserve">Revenue: CA packs</t>
  </si>
  <si>
    <t xml:space="preserve">Revenue: credit (lender pays Paytm a share of each drawdown)</t>
  </si>
  <si>
    <t xml:space="preserve">Revenue: payment margin on incremental GMV</t>
  </si>
  <si>
    <t xml:space="preserve">Revenue: device subscriptions kept and added</t>
  </si>
  <si>
    <t xml:space="preserve">Revenue</t>
  </si>
  <si>
    <t xml:space="preserve">Cost: AI</t>
  </si>
  <si>
    <t xml:space="preserve">Cost: photo checks at handover</t>
  </si>
  <si>
    <t xml:space="preserve">Cost: Account Aggregator data</t>
  </si>
  <si>
    <t xml:space="preserve">Cost: support</t>
  </si>
  <si>
    <t xml:space="preserve">Cost: onboarding new members</t>
  </si>
  <si>
    <t xml:space="preserve">Cost: collection and servicing of drawdowns</t>
  </si>
  <si>
    <t xml:space="preserve">Cost: credit-loss sharing</t>
  </si>
  <si>
    <t xml:space="preserve">Variable cost</t>
  </si>
  <si>
    <t xml:space="preserve">Contribution</t>
  </si>
  <si>
    <t xml:space="preserve">Band 2: Businesses with 2-5 outlets</t>
  </si>
  <si>
    <t xml:space="preserve">GMV: collections moved to Paytm's outlet QRs</t>
  </si>
  <si>
    <t xml:space="preserve">Band 3: Businesses with 6-20 outlets</t>
  </si>
  <si>
    <t xml:space="preserve">Outlet add-ons per member business (slabs on the band's average outlets)</t>
  </si>
  <si>
    <t xml:space="preserve">Revenue: outlet add-ons</t>
  </si>
  <si>
    <t xml:space="preserve">Band 4: Businesses with 21+ outlets (enterprise)</t>
  </si>
  <si>
    <t xml:space="preserve">Cost: onboarding new members (including enterprise sales and integration)</t>
  </si>
  <si>
    <t xml:space="preserve">All businesses</t>
  </si>
  <si>
    <t xml:space="preserve">Drawdowns prompted by members' cash plans</t>
  </si>
  <si>
    <t xml:space="preserve">GMV: leakage recovered</t>
  </si>
  <si>
    <t xml:space="preserve">Rs lakh crore</t>
  </si>
  <si>
    <t xml:space="preserve">Baseline Paytm merchant GMV (FORECAST)</t>
  </si>
  <si>
    <t xml:space="preserve">Uplift vs baseline GMV</t>
  </si>
  <si>
    <t xml:space="preserve">%</t>
  </si>
  <si>
    <t xml:space="preserve">Revenue: credit (paid by lenders)</t>
  </si>
  <si>
    <t xml:space="preserve">Contribution to Paytm</t>
  </si>
  <si>
    <t xml:space="preserve">Fees paid by merchants (membership, add-ons, passes, CA packs) as a share of revenue</t>
  </si>
  <si>
    <t xml:space="preserve">Credit as a share of revenue</t>
  </si>
  <si>
    <t xml:space="preserve">Unit economics and context</t>
  </si>
  <si>
    <t xml:space="preserve">Contribution per member outlet per month, before onboarding</t>
  </si>
  <si>
    <t xml:space="preserve">Contribution per member business per month, before onboarding</t>
  </si>
  <si>
    <t xml:space="preserve">Onboarding cost per new member (all bands)</t>
  </si>
  <si>
    <t xml:space="preserve">Rs per member</t>
  </si>
  <si>
    <t xml:space="preserve">Months to recover onboarding</t>
  </si>
  <si>
    <t xml:space="preserve">months</t>
  </si>
  <si>
    <t xml:space="preserve">Quarterly contribution vs Q1 FY27 EBITDA</t>
  </si>
  <si>
    <t xml:space="preserve">Credit revenue vs Q1 FY27 financial services revenue</t>
  </si>
  <si>
    <t xml:space="preserve">Merchant view: a 2-5 outlet member with the pass on every outlet (per outlet per month)</t>
  </si>
  <si>
    <t xml:space="preserve">Leakage recovered</t>
  </si>
  <si>
    <t xml:space="preserve">Extra gross margin from the cash plan</t>
  </si>
  <si>
    <t xml:space="preserve">Fees: membership shared across outlets, plus the pass</t>
  </si>
  <si>
    <t xml:space="preserve">Net gain per outlet</t>
  </si>
  <si>
    <t xml:space="preserve">Return per Rs 1 of fees</t>
  </si>
  <si>
    <t xml:space="preserve">x</t>
  </si>
  <si>
    <t xml:space="preserve">Merchant view: a single-outlet member without the pass (per month)</t>
  </si>
  <si>
    <t xml:space="preserve">Membership</t>
  </si>
  <si>
    <t xml:space="preserve">Net gain</t>
  </si>
  <si>
    <t xml:space="preserve">BASE scenario (Assumptions column E)</t>
  </si>
  <si>
    <t xml:space="preserve">BULL scenario (Assumptions column F)</t>
  </si>
  <si>
    <t xml:space="preserve">Summary: numbers for the projection and business-model slides</t>
  </si>
  <si>
    <t xml:space="preserve">All cells link to the Model, Assumptions and Baseline sheets.</t>
  </si>
  <si>
    <t xml:space="preserve">A. Base case, quarter by quarter</t>
  </si>
  <si>
    <t xml:space="preserve">Metric</t>
  </si>
  <si>
    <t xml:space="preserve">Paying members, all sizes</t>
  </si>
  <si>
    <t xml:space="preserve">  of which single-outlet</t>
  </si>
  <si>
    <t xml:space="preserve">  of which 2-5 outlets</t>
  </si>
  <si>
    <t xml:space="preserve">  of which 6-20 outlets</t>
  </si>
  <si>
    <t xml:space="preserve">  of which 21+ outlets</t>
  </si>
  <si>
    <t xml:space="preserve">  of which extra sales from the cash plan</t>
  </si>
  <si>
    <t xml:space="preserve">  of which collections moved to Paytm's outlet QRs</t>
  </si>
  <si>
    <t xml:space="preserve">  of which leakage recovered</t>
  </si>
  <si>
    <t xml:space="preserve">  of which kept by lower device churn</t>
  </si>
  <si>
    <t xml:space="preserve">  of which extra outlets opened</t>
  </si>
  <si>
    <t xml:space="preserve">  of which membership</t>
  </si>
  <si>
    <t xml:space="preserve">  of which outlet add-ons</t>
  </si>
  <si>
    <t xml:space="preserve">  of which shift-check passes</t>
  </si>
  <si>
    <t xml:space="preserve">  of which CA packs</t>
  </si>
  <si>
    <t xml:space="preserve">  of which credit (paid by lenders)</t>
  </si>
  <si>
    <t xml:space="preserve">  of which payment margin and device subscriptions</t>
  </si>
  <si>
    <t xml:space="preserve">  of which single-outlet members</t>
  </si>
  <si>
    <t xml:space="preserve">  of which 2-5 outlet members</t>
  </si>
  <si>
    <t xml:space="preserve">  of which 6-20 outlet members</t>
  </si>
  <si>
    <t xml:space="preserve">  of which 21+ outlet members</t>
  </si>
  <si>
    <t xml:space="preserve">Quarterly contribution vs Q1 FY27 EBITDA (Rs 203 crore)</t>
  </si>
  <si>
    <t xml:space="preserve">B. Scenarios side by side</t>
  </si>
  <si>
    <t xml:space="preserve">Incremental GMV, 8 quarters</t>
  </si>
  <si>
    <t xml:space="preserve">Incremental GMV in Q3 FY29</t>
  </si>
  <si>
    <t xml:space="preserve">Uplift vs baseline GMV at Q3 FY29</t>
  </si>
  <si>
    <t xml:space="preserve">Contribution to Paytm, 8 quarters</t>
  </si>
  <si>
    <t xml:space="preserve">Contribution in Q3 FY29</t>
  </si>
  <si>
    <t xml:space="preserve">Q3 FY29 contribution vs Q1 FY27 EBITDA</t>
  </si>
  <si>
    <t xml:space="preserve">Contribution margin, 8 quarters</t>
  </si>
  <si>
    <t xml:space="preserve">Revenue, 8 quarters</t>
  </si>
  <si>
    <t xml:space="preserve">Fees paid by merchants as a share of revenue, 8 quarters</t>
  </si>
  <si>
    <t xml:space="preserve">Credit revenue (paid by lenders), 8 quarters</t>
  </si>
  <si>
    <t xml:space="preserve">Credit as a share of revenue, 8 quarters</t>
  </si>
  <si>
    <t xml:space="preserve">Paying members at Q3 FY29</t>
  </si>
  <si>
    <t xml:space="preserve">Member outlets at Q3 FY29</t>
  </si>
  <si>
    <t xml:space="preserve">Drawdowns prompted by members' cash plans, 8 quarters</t>
  </si>
  <si>
    <t xml:space="preserve">Contribution per member outlet per month (Q3 FY29)</t>
  </si>
  <si>
    <t xml:space="preserve">Contribution per member business per month (Q3 FY29)</t>
  </si>
  <si>
    <t xml:space="preserve">Net gain per outlet, 2-5 outlet member with the pass</t>
  </si>
  <si>
    <t xml:space="preserve">Return per Rs 1 of fees, 2-5 outlet member with the pass</t>
  </si>
  <si>
    <t xml:space="preserve">Net gain, single-outlet member without the pass</t>
  </si>
  <si>
    <t xml:space="preserve">C. By business size, base case</t>
  </si>
  <si>
    <t xml:space="preserve">1 outlet</t>
  </si>
  <si>
    <t xml:space="preserve">2-5</t>
  </si>
  <si>
    <t xml:space="preserve">6-20</t>
  </si>
  <si>
    <t xml:space="preserve">21+</t>
  </si>
  <si>
    <t xml:space="preserve">All</t>
  </si>
  <si>
    <t xml:space="preserve">Contribution, 8 quarters</t>
  </si>
  <si>
    <t xml:space="preserve">Share of 8-quarter contribution</t>
  </si>
  <si>
    <t xml:space="preserve">Contribution per member business per month, Q3 FY29 (after onboarding)</t>
  </si>
  <si>
    <t xml:space="preserve">D. What a business pays a month at base prices (excluding GST)</t>
  </si>
  <si>
    <t xml:space="preserve">Outlets in the business (change these to test other sizes)</t>
  </si>
  <si>
    <t xml:space="preserve">Membership (first 5 outlets included)</t>
  </si>
  <si>
    <t xml:space="preserve">Outlet add-ons (6-10, 11-20, 21+ slabs)</t>
  </si>
  <si>
    <t xml:space="preserve">Monthly bill, membership and add-ons</t>
  </si>
  <si>
    <t xml:space="preserve">Per outlet</t>
  </si>
  <si>
    <t xml:space="preserve">Rs / outlet</t>
  </si>
  <si>
    <t xml:space="preserve">With the shift-check pass on every outlet</t>
  </si>
  <si>
    <t xml:space="preserve">Per outlet, with passes</t>
  </si>
  <si>
    <t xml:space="preserve">E. Context</t>
  </si>
  <si>
    <t xml:space="preserve">Baseline GMV, Q1 FY27 actual</t>
  </si>
  <si>
    <t xml:space="preserve">Baseline GMV, Q3 FY29 FORECAST (linear)</t>
  </si>
  <si>
    <t xml:space="preserve">Baseline GMV, Q3 FY29 GROWTH cross-check</t>
  </si>
  <si>
    <t xml:space="preserve">Device merchants, Q3 FY29 FORECAST</t>
  </si>
  <si>
    <t xml:space="preserve">crore</t>
  </si>
  <si>
    <t xml:space="preserve">Q1 FY27 contribution profit</t>
  </si>
  <si>
    <t xml:space="preserve">Q1 FY27 EBITDA</t>
  </si>
  <si>
    <t xml:space="preserve">Q1 FY27 financial services revenue</t>
  </si>
  <si>
    <t xml:space="preserve">Previous version (flat Rs 199 per outlet, 2-5 outlets only): base contribution, 8 quarters</t>
  </si>
  <si>
    <t xml:space="preserve">Previous version: base incremental GMV, 8 quarters</t>
  </si>
  <si>
    <t xml:space="preserve">Earlier option (dropped): Mohalla, base contribution, 8 quarters</t>
  </si>
  <si>
    <t xml:space="preserve">Earlier option (parked): Restock Agent, base contribution, 8 quarters</t>
  </si>
  <si>
    <t xml:space="preserve">Earlier option (parked): Restock Agent, supplier payments new to Paytm, 8 quarters</t>
  </si>
  <si>
    <t xml:space="preserve">Earlier option (folded in): Soundbox Care, base contribution, 8 quarters</t>
  </si>
  <si>
    <t xml:space="preserve">Munim credit revenue at Q3 FY29 vs Q1 FY27 financial services revenue</t>
  </si>
  <si>
    <t xml:space="preserve">F. Checks</t>
  </si>
  <si>
    <t xml:space="preserve">Devices accounted for by the four bands stay at or under 100% of device merchants in every scenario</t>
  </si>
  <si>
    <t xml:space="preserve">GMV sources add up to incremental GMV (base, 8 quarters)</t>
  </si>
  <si>
    <t xml:space="preserve">Revenue streams add up to revenue (base, 8 quarters)</t>
  </si>
  <si>
    <t xml:space="preserve">Band contributions add up to total contribution (base, 8 quarters)</t>
  </si>
  <si>
    <t xml:space="preserve">Design flag: credit stays under half of revenue in the base case (lending is a tab, not the business)</t>
  </si>
  <si>
    <t xml:space="preserve">Base-case contribution is positive in every quarter</t>
  </si>
  <si>
    <t xml:space="preserve">Design flag: bear-case contribution is positive by Q3 FY29</t>
  </si>
  <si>
    <t xml:space="preserve">Sources</t>
  </si>
  <si>
    <t xml:space="preserve">What it supports</t>
  </si>
  <si>
    <t xml:space="preserve">Link</t>
  </si>
  <si>
    <t xml:space="preserve">Paytm Q1 FY27 earnings release (agent datapack): GMV, subscription merchants, net payment revenue 8.4 bps, processing margin &gt;4 bps, cashback</t>
  </si>
  <si>
    <t xml:space="preserve">https://paytm.com/document/ir/financial-results/fy2026-27/Paytm_Q1_FY27_Agent_Datapack.md</t>
  </si>
  <si>
    <t xml:space="preserve">Q2 FY26 (Sep-25): GMV Rs 5.67 lakh crore, subscriptions 1.37 crore</t>
  </si>
  <si>
    <t xml:space="preserve">https://ianslive.in/paytms-profitability-improves-to-rs-211-crore-in-q2-revenue-up-24-pc--20251104222037</t>
  </si>
  <si>
    <t xml:space="preserve">Q3 FY26 (Dec-25): GMV Rs 6.2 lakh crore</t>
  </si>
  <si>
    <t xml:space="preserve">https://www.businesstoday.in/amp/latest/corporate/story/paytms-q3-net-profit-jumps-to-rs225-crore-on-upi-surge-and-merchant-services-boost-513573-2026-01-29</t>
  </si>
  <si>
    <t xml:space="preserve">Q4 FY25 (Mar-25): GMV Rs 5.1 lakh crore, subscriptions 1.24 crore</t>
  </si>
  <si>
    <t xml:space="preserve">https://www.business-standard.com/companies/quarterly-results/one-97-communication-paytm-q4-fy25-result-loss-profit-revenue-stock-option-125050601030_1.html</t>
  </si>
  <si>
    <t xml:space="preserve">Q3 FY25 (Dec-24): GMV Rs 5.0 lakh crore, up 13% QoQ from Rs 4.5 lakh crore; subscriptions 1.17 crore</t>
  </si>
  <si>
    <t xml:space="preserve">https://inc42.com/?p=495669</t>
  </si>
  <si>
    <t xml:space="preserve">Q3 FY26 (Dec-25): subscription merchants 1.44 crore</t>
  </si>
  <si>
    <t xml:space="preserve">https://alphastreet.com/india/symbol/PAYTM</t>
  </si>
  <si>
    <t xml:space="preserve">Soundbox rental Rs 125-150 a month (BofA merchant checks in Mumbai)</t>
  </si>
  <si>
    <t xml:space="preserve">https://www.outlookbusiness.com/amp/story/enterprise/bofa-research-paytm-soundbox-first-to-bring-audio-based-payments-confirmations-dominates-the-market-6795</t>
  </si>
  <si>
    <t xml:space="preserve">S8</t>
  </si>
  <si>
    <t xml:space="preserve">Paytm subscription revenue ~Rs 90 per device a month (Q4 FY24)</t>
  </si>
  <si>
    <t xml:space="preserve">https://www.medianama.com/2024/10/223-paytm-to-monetize-soundbox-ads-in-partnership-with-meesho-a-shift-away-from-core-payments-business/</t>
  </si>
  <si>
    <t xml:space="preserve">S9</t>
  </si>
  <si>
    <t xml:space="preserve">Several soundboxes on one counter (Inc42)</t>
  </si>
  <si>
    <t xml:space="preserve">https://inc42.com/buzz/upi-transactions-jump-3-8-mom-in-may-cross-23-bn-mark/</t>
  </si>
  <si>
    <t xml:space="preserve">Paytm Q1 FY27 results: revenue Rs 2,448 crore, contribution profit Rs 1,350 crore at 55%, EBITDA Rs 203 crore, PAT Rs 220 crore, financial services Rs 814 crore</t>
  </si>
  <si>
    <t xml:space="preserve">https://paytm.com/blog/investor-relations/paytm-q1-fy27-results-revenue-grows-28-to-2448-crore-highest-ever-quarterly-ebitda-at-203-crore/</t>
  </si>
  <si>
    <t xml:space="preserve">S11</t>
  </si>
  <si>
    <t xml:space="preserve">Paytm merchant loans, repeat borrowers (Aug 2022 release)</t>
  </si>
  <si>
    <t xml:space="preserve">https://bseindia.com/xml-data/corpfiling/AttachHis/01144943-65d3-465d-a4cc-f0556ff55ec5.pdf</t>
  </si>
  <si>
    <t xml:space="preserve">S12</t>
  </si>
  <si>
    <t xml:space="preserve">Public-sector banks' digital MSME model (GST, ITR, AA statements): 5.6 lakh applications, ~47% passed, Apr-Oct FY26</t>
  </si>
  <si>
    <t xml:space="preserve">https://www.business-standard.com/industry/banking/public-sector-banks-okay-28k-cr-in-msme-loans-via-new-digital-model-125122100503_1.html</t>
  </si>
  <si>
    <t xml:space="preserve">S13</t>
  </si>
  <si>
    <t xml:space="preserve">TransUnion CIBIL-SIDBI MSME Pulse, Jul 2026: 41% of MSMEs ever credited; Rs 2-10 lakh loans slowest-growing, 5.6% 90+ days overdue</t>
  </si>
  <si>
    <t xml:space="preserve">https://www.transunioncibil.com/content/dam/transunion-cibil/corporate/documents/msme-pulse-report-july-2026.pdf</t>
  </si>
  <si>
    <t xml:space="preserve">S14</t>
  </si>
  <si>
    <t xml:space="preserve">Kirana retailer margins: ~5-10% on national brands, 10-18% on regional brands (Kirana Club)</t>
  </si>
  <si>
    <t xml:space="preserve">https://kirana.club/resources/fmcg-distributor-kirana-margins</t>
  </si>
  <si>
    <t xml:space="preserve">S15</t>
  </si>
  <si>
    <t xml:space="preserve">HUL Shikhar (Consumer Goods Technology)</t>
  </si>
  <si>
    <t xml:space="preserve">https://consumergoods.com/unilever-tackles-indias-stock-outs-and-supply-chain-roadblocks-new-retail-partner-digital-platform</t>
  </si>
  <si>
    <t xml:space="preserve">S16</t>
  </si>
  <si>
    <t xml:space="preserve">UPI MDR: 0.40% above Rs 2,000, capped at Rs 300; start deferred to after Diwali (Inc42, 13 Oct 2026)</t>
  </si>
  <si>
    <t xml:space="preserve">https://inc42.com/?p=575789</t>
  </si>
  <si>
    <t xml:space="preserve">S17</t>
  </si>
  <si>
    <t xml:space="preserve">UPI MDR notified (Business Today, 15 Sep 2026)</t>
  </si>
  <si>
    <t xml:space="preserve">https://www.businesstoday.in/latest/economy/story/mdr-on-upi-what-it-means-for-customers-555587-2026-09-15</t>
  </si>
  <si>
    <t xml:space="preserve">S18</t>
  </si>
  <si>
    <t xml:space="preserve">Global Fintech Fest 2026 launches incl. credit line on UPI for MUDRA and KCC (Inc42)</t>
  </si>
  <si>
    <t xml:space="preserve">https://inc42.com/buzz/gff-2026-npci-launches-instant-card-issuing-atms-deepens-ai-push/</t>
  </si>
  <si>
    <t xml:space="preserve">S19</t>
  </si>
  <si>
    <t xml:space="preserve">Paytm AI Soundbox: Android, two screens, voice commands, AI assistant in 11 languages, card tap and chip</t>
  </si>
  <si>
    <t xml:space="preserve">https://www.fonearena.com/blog/466319/paytm-ai-soundbox-features.html</t>
  </si>
  <si>
    <t xml:space="preserve">S20</t>
  </si>
  <si>
    <t xml:space="preserve">Paytm on verifying payments with the Soundbox and Business app (spoof payment apps)</t>
  </si>
  <si>
    <t xml:space="preserve">https://www.crowdfundinsider.com/2022/01/185176-indian-payments-fintech-paytm-explains-how-merchants-may-verify-payment-receipts-with-their-soundbox-and-business-app/</t>
  </si>
  <si>
    <t xml:space="preserve">S21</t>
  </si>
  <si>
    <t xml:space="preserve">Revised priority sector lending rules, micro enterprises 7.5% of ANBC (Outlook Money)</t>
  </si>
  <si>
    <t xml:space="preserve">https://www.outlookmoney.com/banking/rbi-overhauls-priority-sector-lending-how-it-effects-lenders-and-borrowers</t>
  </si>
  <si>
    <t xml:space="preserve">S22</t>
  </si>
  <si>
    <t xml:space="preserve">PM MUDRA Yojana at 11 years (DD News)</t>
  </si>
  <si>
    <t xml:space="preserve">https://ddnews.gov.in/en/pradhan-mantri-mudra-yojana-marks-11-years-%e2%82%b940-07-lakh-crore-loans-sanctioned/</t>
  </si>
  <si>
    <t xml:space="preserve">S23</t>
  </si>
  <si>
    <t xml:space="preserve">Paytm Payments Services: online, offline and cross-border payment aggregator authorisations (Nov-Dec 2025)</t>
  </si>
  <si>
    <t xml:space="preserve">https://www.outlookmoney.com/amp/story/banking/rbi-clears-paytm-arm-ppsl-as-payment-aggregator-for-offline-crossborder-transactions</t>
  </si>
  <si>
    <t xml:space="preserve">S24</t>
  </si>
  <si>
    <t xml:space="preserve">UPI market shares, May 2026, and NPCI's 30% cap (Outlook Business)</t>
  </si>
  <si>
    <t xml:space="preserve">https://www.outlookbusiness.com/economy-and-policy/phonepe-google-pay-combined-upi-market-share-drops-below-80-for-first-time</t>
  </si>
  <si>
    <t xml:space="preserve">S25</t>
  </si>
  <si>
    <t xml:space="preserve">DPDP Rules phasing (Bar &amp; Bench)</t>
  </si>
  <si>
    <t xml:space="preserve">https://www.barandbench.com/view-point/meity-notifies-final-digital-personal-data-protection-rules-2025</t>
  </si>
  <si>
    <t xml:space="preserve">S26</t>
  </si>
  <si>
    <t xml:space="preserve">RBI default loss guarantee guidelines (cap of 5% of the loan portfolio)</t>
  </si>
  <si>
    <t xml:space="preserve">https://www.rbi.org.in/scripts/NotificationUser.aspx?Id=12514</t>
  </si>
  <si>
    <t xml:space="preserve">S27</t>
  </si>
  <si>
    <t xml:space="preserve">RBI Annual Report 2025-26 summary (Vatayan Labs)</t>
  </si>
  <si>
    <t xml:space="preserve">https://vatayanlabs.com/dashboards/rbi-annual-report-2025-26/</t>
  </si>
  <si>
    <t xml:space="preserve">S28</t>
  </si>
  <si>
    <t xml:space="preserve">NPCI agentic payments on UPI (Inc42)</t>
  </si>
  <si>
    <t xml:space="preserve">https://inc42.com/buzz/npci-to-launch-agentic-payments-on-upi-report/</t>
  </si>
  <si>
    <t xml:space="preserve">S29</t>
  </si>
  <si>
    <t xml:space="preserve">Paytm for Business app listing (updated 23 Oct 2026): business loans up to Rs 10 lakh, 3-36 months, APR 15-46%, via lending partners; features listed</t>
  </si>
  <si>
    <t xml:space="preserve">https://play.google.com/store/apps/details?id=com.paytm.business&amp;hl=en_CA</t>
  </si>
  <si>
    <t xml:space="preserve">S30</t>
  </si>
  <si>
    <t xml:space="preserve">RBI (Digital Lending) Directions, 2025: multi-lender display, disbursal and repayment flows, LSP fees paid by the lender, KFS, cooling-off</t>
  </si>
  <si>
    <t xml:space="preserve">https://www.rbi.org.in/Scripts/NotificationUser.aspx?Id=12848</t>
  </si>
  <si>
    <t xml:space="preserve">S31</t>
  </si>
  <si>
    <t xml:space="preserve">Paytm Payments dashboard settlement reports: commission (MDR), GST, net settled, UTR, scheduled email and SFTP</t>
  </si>
  <si>
    <t xml:space="preserve">https://www.paytmpayments.com/docs/settlement-reports-on-dashboard</t>
  </si>
  <si>
    <t xml:space="preserve">S32</t>
  </si>
  <si>
    <t xml:space="preserve">MDR on RuPay credit card on UPI above Rs 2,000 (1.10% for supermarkets and convenience stores, up to 1.75%, plus GST), from 1 June 2026 (Canara Bank)</t>
  </si>
  <si>
    <t xml:space="preserve">https://www.canarabank.bank.in/documents/d/guest/mdr-on-rupay-credit-card-on-upi-payments</t>
  </si>
  <si>
    <t xml:space="preserve">S33</t>
  </si>
  <si>
    <t xml:space="preserve">UPI charges by funding source, incl. wallet interchange above Rs 2,000 (PayU, May 2026)</t>
  </si>
  <si>
    <t xml:space="preserve">https://payu.in/blog/?p=14816</t>
  </si>
  <si>
    <t xml:space="preserve">S34</t>
  </si>
  <si>
    <t xml:space="preserve">RBI: informal micro enterprises with a Udyam Assist Certificate count as micro enterprises for priority sector lending (9 May 2023)</t>
  </si>
  <si>
    <t xml:space="preserve">https://www.rbi.org.in/Scripts/NotificationUser.aspx?Id=12500</t>
  </si>
  <si>
    <t xml:space="preserve">S35</t>
  </si>
  <si>
    <t xml:space="preserve">Lakshmi Puja (Diwali) 2026: Sunday, 8 November (BankBazaar holiday calendar)</t>
  </si>
  <si>
    <t xml:space="preserve">https://www.bankbazaar.com/indian-holiday/lakshmi-puja-holiday.html</t>
  </si>
  <si>
    <t xml:space="preserve">S36</t>
  </si>
  <si>
    <t xml:space="preserve">Vijay Shekhar Sharma on AI agents for small merchants (TelecomTalk)</t>
  </si>
  <si>
    <t xml:space="preserve">https://telecomtalk.info/?p=1001491</t>
  </si>
  <si>
    <t xml:space="preserve">S37</t>
  </si>
  <si>
    <t xml:space="preserve">MAS SAFR white paper on safeguards for AI agents in finance (Rajah &amp; Tann)</t>
  </si>
  <si>
    <t xml:space="preserve">https://www.rajahtannasia.com/viewpoints/mas-publishes-white-paper-for-fis-on-developing-safeguards-for-ai-agents-in-finance/</t>
  </si>
  <si>
    <t xml:space="preserve">S38</t>
  </si>
  <si>
    <t xml:space="preserve">Account Aggregator purpose codes 101-105 (Sahamati)</t>
  </si>
  <si>
    <t xml:space="preserve">https://sahamati.org.in/purpose-codes/</t>
  </si>
  <si>
    <t xml:space="preserve">S39</t>
  </si>
  <si>
    <t xml:space="preserve">Merchant forum thread on Paytm Soundbox monthly charges rising from Rs 29 to Rs 135 (DesiDime; anecdotal)</t>
  </si>
  <si>
    <t xml:space="preserve">https://www.desidime.com/discussions/arbitrary-monthly-charges-on-paytm-business-soundbox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</si>
</sst>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%;\-0.000%;\-"/>
    <numFmt numFmtId="166" formatCode="#,##0;\(#,##0\);\-"/>
    <numFmt numFmtId="167" formatCode="0.0%;\-0.0%;\-"/>
    <numFmt numFmtId="168" formatCode="#,##0.0;\(#,##0.0\);\-"/>
    <numFmt numFmtId="169" formatCode="0.00%;\-0.00%;\-"/>
    <numFmt numFmtId="170" formatCode="#,##0.00;\(#,##0.00\);\-"/>
    <numFmt numFmtId="171" formatCode="0.0"/>
    <numFmt numFmtId="172" formatCode="General"/>
    <numFmt numFmtId="173" formatCode="#,##0.000;\(#,##0.000\);\-"/>
    <numFmt numFmtId="174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E6E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2E6E"/>
      <name val="Arial"/>
      <family val="0"/>
      <charset val="1"/>
    </font>
    <font>
      <b val="true"/>
      <sz val="13"/>
      <color rgb="FF002E6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2E6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2E6E"/>
        <bgColor rgb="FF333399"/>
      </patternFill>
    </fill>
    <fill>
      <patternFill patternType="solid">
        <fgColor rgb="FFDDEBF7"/>
        <bgColor rgb="FFE8F4FB"/>
      </patternFill>
    </fill>
    <fill>
      <patternFill patternType="solid">
        <fgColor rgb="FFFFFF00"/>
        <bgColor rgb="FFFFFF00"/>
      </patternFill>
    </fill>
    <fill>
      <patternFill patternType="solid">
        <fgColor rgb="FFE8F4FB"/>
        <bgColor rgb="FFF2F2F2"/>
      </patternFill>
    </fill>
    <fill>
      <patternFill patternType="solid">
        <fgColor rgb="FF00BAF2"/>
        <bgColor rgb="FF33CCCC"/>
      </patternFill>
    </fill>
    <fill>
      <patternFill patternType="solid">
        <fgColor rgb="FFF2F2F2"/>
        <bgColor rgb="FFE8F4FB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AF2"/>
      <rgbColor rgb="FFDDEBF7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E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3.85" hidden="false" customHeight="false" outlineLevel="0" collapsed="false">
      <c r="B6" s="3" t="s">
        <v>3</v>
      </c>
    </row>
    <row r="7" customFormat="false" ht="35.05" hidden="false" customHeight="false" outlineLevel="0" collapsed="false">
      <c r="B7" s="3" t="s">
        <v>4</v>
      </c>
    </row>
    <row r="8" customFormat="false" ht="35.0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4" t="s">
        <v>14</v>
      </c>
    </row>
    <row r="20" customFormat="false" ht="23.8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24</v>
      </c>
    </row>
    <row r="32" customFormat="false" ht="15" hidden="false" customHeight="false" outlineLevel="0" collapsed="false">
      <c r="B32" s="3" t="s">
        <v>25</v>
      </c>
    </row>
    <row r="33" customFormat="false" ht="15" hidden="false" customHeight="false" outlineLevel="0" collapsed="false">
      <c r="B33" s="3" t="s">
        <v>26</v>
      </c>
    </row>
    <row r="34" customFormat="false" ht="15" hidden="false" customHeight="false" outlineLevel="0" collapsed="false">
      <c r="B34" s="3" t="s">
        <v>27</v>
      </c>
    </row>
    <row r="35" customFormat="false" ht="15" hidden="false" customHeight="false" outlineLevel="0" collapsed="false">
      <c r="B35" s="3" t="s">
        <v>28</v>
      </c>
    </row>
    <row r="36" customFormat="false" ht="15" hidden="false" customHeight="false" outlineLevel="0" collapsed="false">
      <c r="B36" s="3" t="s">
        <v>29</v>
      </c>
    </row>
    <row r="37" customFormat="false" ht="15" hidden="false" customHeight="false" outlineLevel="0" collapsed="false">
      <c r="B37" s="3"/>
    </row>
    <row r="38" customFormat="false" ht="35.05" hidden="false" customHeight="false" outlineLevel="0" collapsed="false">
      <c r="B3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11" min="4" style="0" width="11"/>
    <col collapsed="false" customWidth="true" hidden="false" outlineLevel="0" max="12" min="12" style="0" width="82"/>
  </cols>
  <sheetData>
    <row r="1" customFormat="false" ht="16.15" hidden="false" customHeight="false" outlineLevel="0" collapsed="false">
      <c r="A1" s="5" t="s">
        <v>31</v>
      </c>
    </row>
    <row r="2" customFormat="false" ht="15" hidden="false" customHeight="false" outlineLevel="0" collapsed="false">
      <c r="A2" s="6" t="s">
        <v>32</v>
      </c>
    </row>
    <row r="4" customFormat="false" ht="15" hidden="false" customHeight="false" outlineLevel="0" collapsed="false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L4" s="8" t="s">
        <v>39</v>
      </c>
    </row>
    <row r="5" customFormat="false" ht="15" hidden="false" customHeight="false" outlineLevel="0" collapsed="false">
      <c r="A5" s="9" t="s">
        <v>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customFormat="false" ht="23.85" hidden="false" customHeight="false" outlineLevel="0" collapsed="false">
      <c r="A6" s="11" t="s">
        <v>41</v>
      </c>
      <c r="B6" s="3" t="s">
        <v>42</v>
      </c>
      <c r="C6" s="2" t="s">
        <v>43</v>
      </c>
      <c r="D6" s="12" t="n">
        <v>0.0004</v>
      </c>
      <c r="E6" s="12" t="n">
        <v>0.0004</v>
      </c>
      <c r="F6" s="12" t="n">
        <v>0.0004</v>
      </c>
      <c r="L6" s="2" t="s">
        <v>44</v>
      </c>
    </row>
    <row r="7" customFormat="false" ht="23.85" hidden="false" customHeight="false" outlineLevel="0" collapsed="false">
      <c r="A7" s="11" t="s">
        <v>45</v>
      </c>
      <c r="B7" s="3" t="s">
        <v>46</v>
      </c>
      <c r="C7" s="2" t="s">
        <v>47</v>
      </c>
      <c r="D7" s="13" t="n">
        <v>60000</v>
      </c>
      <c r="E7" s="13" t="n">
        <v>90000</v>
      </c>
      <c r="F7" s="13" t="n">
        <v>130000</v>
      </c>
      <c r="L7" s="2" t="s">
        <v>48</v>
      </c>
    </row>
    <row r="8" customFormat="false" ht="15" hidden="false" customHeight="false" outlineLevel="0" collapsed="false">
      <c r="A8" s="11" t="s">
        <v>49</v>
      </c>
      <c r="B8" s="3" t="s">
        <v>50</v>
      </c>
      <c r="C8" s="2" t="s">
        <v>47</v>
      </c>
      <c r="D8" s="13" t="n">
        <v>30000</v>
      </c>
      <c r="E8" s="13" t="n">
        <v>45000</v>
      </c>
      <c r="F8" s="13" t="n">
        <v>60000</v>
      </c>
      <c r="L8" s="2" t="s">
        <v>51</v>
      </c>
    </row>
    <row r="9" customFormat="false" ht="23.85" hidden="false" customHeight="false" outlineLevel="0" collapsed="false">
      <c r="A9" s="11" t="s">
        <v>52</v>
      </c>
      <c r="B9" s="3" t="s">
        <v>53</v>
      </c>
      <c r="C9" s="2" t="s">
        <v>47</v>
      </c>
      <c r="D9" s="13" t="n">
        <v>80</v>
      </c>
      <c r="E9" s="13" t="n">
        <v>90</v>
      </c>
      <c r="F9" s="13" t="n">
        <v>100</v>
      </c>
      <c r="L9" s="2" t="s">
        <v>54</v>
      </c>
    </row>
    <row r="10" customFormat="false" ht="15" hidden="false" customHeight="false" outlineLevel="0" collapsed="false">
      <c r="A10" s="9" t="s">
        <v>55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customFormat="false" ht="23.85" hidden="false" customHeight="false" outlineLevel="0" collapsed="false">
      <c r="A11" s="11" t="s">
        <v>56</v>
      </c>
      <c r="B11" s="3" t="s">
        <v>57</v>
      </c>
      <c r="C11" s="2" t="s">
        <v>58</v>
      </c>
      <c r="D11" s="14" t="n">
        <v>0.65</v>
      </c>
      <c r="E11" s="14" t="n">
        <v>0.7</v>
      </c>
      <c r="F11" s="14" t="n">
        <v>0.75</v>
      </c>
      <c r="L11" s="2" t="s">
        <v>59</v>
      </c>
    </row>
    <row r="12" customFormat="false" ht="23.85" hidden="false" customHeight="false" outlineLevel="0" collapsed="false">
      <c r="A12" s="11" t="s">
        <v>60</v>
      </c>
      <c r="B12" s="3" t="s">
        <v>61</v>
      </c>
      <c r="C12" s="2" t="s">
        <v>58</v>
      </c>
      <c r="D12" s="14" t="n">
        <v>0.02</v>
      </c>
      <c r="E12" s="14" t="n">
        <v>0.04</v>
      </c>
      <c r="F12" s="14" t="n">
        <v>0.06</v>
      </c>
      <c r="L12" s="2" t="s">
        <v>62</v>
      </c>
    </row>
    <row r="13" customFormat="false" ht="23.85" hidden="false" customHeight="false" outlineLevel="0" collapsed="false">
      <c r="A13" s="11" t="s">
        <v>63</v>
      </c>
      <c r="B13" s="3" t="s">
        <v>64</v>
      </c>
      <c r="C13" s="2" t="s">
        <v>58</v>
      </c>
      <c r="D13" s="14" t="n">
        <v>0.001</v>
      </c>
      <c r="E13" s="14" t="n">
        <v>0.002</v>
      </c>
      <c r="F13" s="14" t="n">
        <v>0.003</v>
      </c>
      <c r="L13" s="2" t="s">
        <v>65</v>
      </c>
    </row>
    <row r="14" customFormat="false" ht="23.85" hidden="false" customHeight="false" outlineLevel="0" collapsed="false">
      <c r="A14" s="11" t="s">
        <v>66</v>
      </c>
      <c r="B14" s="3" t="s">
        <v>67</v>
      </c>
      <c r="C14" s="2" t="s">
        <v>58</v>
      </c>
      <c r="D14" s="12" t="n">
        <v>5E-005</v>
      </c>
      <c r="E14" s="12" t="n">
        <v>0.0001</v>
      </c>
      <c r="F14" s="12" t="n">
        <v>0.00015</v>
      </c>
      <c r="L14" s="2" t="s">
        <v>68</v>
      </c>
    </row>
    <row r="15" customFormat="false" ht="15" hidden="false" customHeight="false" outlineLevel="0" collapsed="false">
      <c r="A15" s="11" t="s">
        <v>69</v>
      </c>
      <c r="B15" s="3" t="s">
        <v>70</v>
      </c>
      <c r="C15" s="2" t="s">
        <v>71</v>
      </c>
      <c r="D15" s="15" t="n">
        <v>2.3</v>
      </c>
      <c r="E15" s="15" t="n">
        <v>2.5</v>
      </c>
      <c r="F15" s="15" t="n">
        <v>2.8</v>
      </c>
      <c r="L15" s="2" t="s">
        <v>72</v>
      </c>
    </row>
    <row r="16" customFormat="false" ht="15" hidden="false" customHeight="false" outlineLevel="0" collapsed="false">
      <c r="A16" s="11" t="s">
        <v>73</v>
      </c>
      <c r="B16" s="3" t="s">
        <v>74</v>
      </c>
      <c r="C16" s="2" t="s">
        <v>71</v>
      </c>
      <c r="D16" s="13" t="n">
        <v>8</v>
      </c>
      <c r="E16" s="13" t="n">
        <v>10</v>
      </c>
      <c r="F16" s="13" t="n">
        <v>12</v>
      </c>
      <c r="L16" s="2" t="s">
        <v>72</v>
      </c>
    </row>
    <row r="17" customFormat="false" ht="15" hidden="false" customHeight="false" outlineLevel="0" collapsed="false">
      <c r="A17" s="11" t="s">
        <v>75</v>
      </c>
      <c r="B17" s="3" t="s">
        <v>76</v>
      </c>
      <c r="C17" s="2" t="s">
        <v>71</v>
      </c>
      <c r="D17" s="13" t="n">
        <v>60</v>
      </c>
      <c r="E17" s="13" t="n">
        <v>100</v>
      </c>
      <c r="F17" s="13" t="n">
        <v>150</v>
      </c>
      <c r="L17" s="2" t="s">
        <v>72</v>
      </c>
    </row>
    <row r="18" customFormat="false" ht="15" hidden="false" customHeight="false" outlineLevel="0" collapsed="false">
      <c r="A18" s="9" t="s">
        <v>77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23.85" hidden="false" customHeight="false" outlineLevel="0" collapsed="false">
      <c r="A19" s="11" t="s">
        <v>78</v>
      </c>
      <c r="B19" s="3" t="s">
        <v>57</v>
      </c>
      <c r="C19" s="2" t="s">
        <v>79</v>
      </c>
      <c r="D19" s="14" t="n">
        <v>0.005</v>
      </c>
      <c r="E19" s="14" t="n">
        <v>0.01</v>
      </c>
      <c r="F19" s="14" t="n">
        <v>0.02</v>
      </c>
      <c r="L19" s="2" t="s">
        <v>80</v>
      </c>
    </row>
    <row r="20" customFormat="false" ht="23.85" hidden="false" customHeight="false" outlineLevel="0" collapsed="false">
      <c r="A20" s="11" t="s">
        <v>81</v>
      </c>
      <c r="B20" s="3" t="s">
        <v>82</v>
      </c>
      <c r="C20" s="2" t="s">
        <v>79</v>
      </c>
      <c r="D20" s="14" t="n">
        <v>0.05</v>
      </c>
      <c r="E20" s="14" t="n">
        <v>0.1</v>
      </c>
      <c r="F20" s="14" t="n">
        <v>0.15</v>
      </c>
      <c r="L20" s="2" t="s">
        <v>83</v>
      </c>
    </row>
    <row r="21" customFormat="false" ht="15" hidden="false" customHeight="false" outlineLevel="0" collapsed="false">
      <c r="A21" s="11" t="s">
        <v>84</v>
      </c>
      <c r="B21" s="3" t="s">
        <v>85</v>
      </c>
      <c r="C21" s="2" t="s">
        <v>79</v>
      </c>
      <c r="D21" s="14" t="n">
        <v>0.04</v>
      </c>
      <c r="E21" s="14" t="n">
        <v>0.08</v>
      </c>
      <c r="F21" s="14" t="n">
        <v>0.12</v>
      </c>
      <c r="L21" s="2" t="s">
        <v>72</v>
      </c>
    </row>
    <row r="22" customFormat="false" ht="15" hidden="false" customHeight="false" outlineLevel="0" collapsed="false">
      <c r="A22" s="11" t="s">
        <v>86</v>
      </c>
      <c r="B22" s="3" t="s">
        <v>87</v>
      </c>
      <c r="C22" s="2" t="s">
        <v>79</v>
      </c>
      <c r="D22" s="14" t="n">
        <v>0.01</v>
      </c>
      <c r="E22" s="14" t="n">
        <v>0.03</v>
      </c>
      <c r="F22" s="14" t="n">
        <v>0.06</v>
      </c>
      <c r="L22" s="2" t="s">
        <v>88</v>
      </c>
    </row>
    <row r="23" customFormat="false" ht="23.85" hidden="false" customHeight="false" outlineLevel="0" collapsed="false">
      <c r="A23" s="11" t="s">
        <v>89</v>
      </c>
      <c r="B23" s="3" t="s">
        <v>90</v>
      </c>
      <c r="C23" s="2" t="s">
        <v>91</v>
      </c>
      <c r="D23" s="13" t="n">
        <v>1</v>
      </c>
      <c r="E23" s="13" t="n">
        <v>2</v>
      </c>
      <c r="F23" s="13" t="n">
        <v>4</v>
      </c>
      <c r="L23" s="2" t="s">
        <v>92</v>
      </c>
    </row>
    <row r="24" customFormat="false" ht="15" hidden="false" customHeight="false" outlineLevel="0" collapsed="false">
      <c r="A24" s="9" t="s">
        <v>93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23.85" hidden="false" customHeight="false" outlineLevel="0" collapsed="false">
      <c r="A25" s="11" t="s">
        <v>94</v>
      </c>
      <c r="B25" s="3" t="s">
        <v>95</v>
      </c>
      <c r="C25" s="2" t="s">
        <v>47</v>
      </c>
      <c r="D25" s="13" t="n">
        <v>149</v>
      </c>
      <c r="E25" s="13" t="n">
        <v>199</v>
      </c>
      <c r="F25" s="13" t="n">
        <v>299</v>
      </c>
      <c r="L25" s="2" t="s">
        <v>96</v>
      </c>
    </row>
    <row r="26" customFormat="false" ht="15" hidden="false" customHeight="false" outlineLevel="0" collapsed="false">
      <c r="A26" s="11" t="s">
        <v>97</v>
      </c>
      <c r="B26" s="3" t="s">
        <v>98</v>
      </c>
      <c r="C26" s="2" t="s">
        <v>99</v>
      </c>
      <c r="D26" s="13" t="n">
        <v>29</v>
      </c>
      <c r="E26" s="13" t="n">
        <v>49</v>
      </c>
      <c r="F26" s="13" t="n">
        <v>79</v>
      </c>
      <c r="L26" s="2" t="s">
        <v>100</v>
      </c>
    </row>
    <row r="27" customFormat="false" ht="15" hidden="false" customHeight="false" outlineLevel="0" collapsed="false">
      <c r="A27" s="11" t="s">
        <v>101</v>
      </c>
      <c r="B27" s="3" t="s">
        <v>102</v>
      </c>
      <c r="C27" s="2" t="s">
        <v>99</v>
      </c>
      <c r="D27" s="13" t="n">
        <v>49</v>
      </c>
      <c r="E27" s="13" t="n">
        <v>79</v>
      </c>
      <c r="F27" s="13" t="n">
        <v>99</v>
      </c>
      <c r="L27" s="2" t="s">
        <v>72</v>
      </c>
    </row>
    <row r="28" customFormat="false" ht="15" hidden="false" customHeight="false" outlineLevel="0" collapsed="false">
      <c r="A28" s="11" t="s">
        <v>103</v>
      </c>
      <c r="B28" s="3" t="s">
        <v>104</v>
      </c>
      <c r="C28" s="2" t="s">
        <v>99</v>
      </c>
      <c r="D28" s="13" t="n">
        <v>69</v>
      </c>
      <c r="E28" s="13" t="n">
        <v>99</v>
      </c>
      <c r="F28" s="13" t="n">
        <v>149</v>
      </c>
      <c r="L28" s="2" t="s">
        <v>105</v>
      </c>
    </row>
    <row r="29" customFormat="false" ht="15" hidden="false" customHeight="false" outlineLevel="0" collapsed="false">
      <c r="A29" s="11" t="s">
        <v>106</v>
      </c>
      <c r="B29" s="3" t="s">
        <v>107</v>
      </c>
      <c r="C29" s="2" t="s">
        <v>99</v>
      </c>
      <c r="D29" s="13" t="n">
        <v>79</v>
      </c>
      <c r="E29" s="13" t="n">
        <v>99</v>
      </c>
      <c r="F29" s="13" t="n">
        <v>149</v>
      </c>
      <c r="L29" s="2" t="s">
        <v>108</v>
      </c>
    </row>
    <row r="30" customFormat="false" ht="15" hidden="false" customHeight="false" outlineLevel="0" collapsed="false">
      <c r="A30" s="11" t="s">
        <v>109</v>
      </c>
      <c r="B30" s="3" t="s">
        <v>110</v>
      </c>
      <c r="C30" s="2" t="s">
        <v>111</v>
      </c>
      <c r="D30" s="14" t="n">
        <v>0.05</v>
      </c>
      <c r="E30" s="14" t="n">
        <v>0.1</v>
      </c>
      <c r="F30" s="14" t="n">
        <v>0.2</v>
      </c>
      <c r="L30" s="2" t="s">
        <v>112</v>
      </c>
    </row>
    <row r="31" customFormat="false" ht="15" hidden="false" customHeight="false" outlineLevel="0" collapsed="false">
      <c r="A31" s="11" t="s">
        <v>113</v>
      </c>
      <c r="B31" s="3" t="s">
        <v>114</v>
      </c>
      <c r="C31" s="2" t="s">
        <v>111</v>
      </c>
      <c r="D31" s="14" t="n">
        <v>0.3</v>
      </c>
      <c r="E31" s="14" t="n">
        <v>0.5</v>
      </c>
      <c r="F31" s="14" t="n">
        <v>0.7</v>
      </c>
      <c r="L31" s="2" t="s">
        <v>115</v>
      </c>
    </row>
    <row r="32" customFormat="false" ht="23.85" hidden="false" customHeight="false" outlineLevel="0" collapsed="false">
      <c r="A32" s="11" t="s">
        <v>116</v>
      </c>
      <c r="B32" s="3" t="s">
        <v>117</v>
      </c>
      <c r="C32" s="2" t="s">
        <v>47</v>
      </c>
      <c r="D32" s="13" t="n">
        <v>79</v>
      </c>
      <c r="E32" s="13" t="n">
        <v>99</v>
      </c>
      <c r="F32" s="13" t="n">
        <v>149</v>
      </c>
      <c r="L32" s="2" t="s">
        <v>118</v>
      </c>
    </row>
    <row r="33" customFormat="false" ht="15" hidden="false" customHeight="false" outlineLevel="0" collapsed="false">
      <c r="A33" s="11" t="s">
        <v>119</v>
      </c>
      <c r="B33" s="3" t="s">
        <v>120</v>
      </c>
      <c r="C33" s="2" t="s">
        <v>121</v>
      </c>
      <c r="D33" s="14" t="n">
        <v>0.1</v>
      </c>
      <c r="E33" s="14" t="n">
        <v>0.2</v>
      </c>
      <c r="F33" s="14" t="n">
        <v>0.3</v>
      </c>
      <c r="L33" s="2" t="s">
        <v>72</v>
      </c>
    </row>
    <row r="34" customFormat="false" ht="15" hidden="false" customHeight="false" outlineLevel="0" collapsed="false">
      <c r="A34" s="9" t="s">
        <v>122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23.85" hidden="false" customHeight="false" outlineLevel="0" collapsed="false">
      <c r="A35" s="11" t="s">
        <v>123</v>
      </c>
      <c r="B35" s="3" t="s">
        <v>124</v>
      </c>
      <c r="C35" s="2" t="s">
        <v>121</v>
      </c>
      <c r="D35" s="14" t="n">
        <v>0.3</v>
      </c>
      <c r="E35" s="14" t="n">
        <v>0.45</v>
      </c>
      <c r="F35" s="14" t="n">
        <v>0.6</v>
      </c>
      <c r="L35" s="2" t="s">
        <v>125</v>
      </c>
    </row>
    <row r="36" customFormat="false" ht="15" hidden="false" customHeight="false" outlineLevel="0" collapsed="false">
      <c r="A36" s="11" t="s">
        <v>126</v>
      </c>
      <c r="B36" s="3" t="s">
        <v>127</v>
      </c>
      <c r="C36" s="2" t="s">
        <v>128</v>
      </c>
      <c r="D36" s="15" t="n">
        <v>1.5</v>
      </c>
      <c r="E36" s="15" t="n">
        <v>2</v>
      </c>
      <c r="F36" s="15" t="n">
        <v>3</v>
      </c>
      <c r="L36" s="2" t="s">
        <v>129</v>
      </c>
    </row>
    <row r="37" customFormat="false" ht="23.85" hidden="false" customHeight="false" outlineLevel="0" collapsed="false">
      <c r="A37" s="11" t="s">
        <v>130</v>
      </c>
      <c r="B37" s="3" t="s">
        <v>131</v>
      </c>
      <c r="C37" s="2" t="s">
        <v>132</v>
      </c>
      <c r="D37" s="13" t="n">
        <v>40000</v>
      </c>
      <c r="E37" s="13" t="n">
        <v>80000</v>
      </c>
      <c r="F37" s="13" t="n">
        <v>120000</v>
      </c>
      <c r="L37" s="2" t="s">
        <v>133</v>
      </c>
    </row>
    <row r="38" customFormat="false" ht="23.85" hidden="false" customHeight="false" outlineLevel="0" collapsed="false">
      <c r="A38" s="11" t="s">
        <v>134</v>
      </c>
      <c r="B38" s="3" t="s">
        <v>135</v>
      </c>
      <c r="C38" s="2" t="s">
        <v>136</v>
      </c>
      <c r="D38" s="14" t="n">
        <v>0.015</v>
      </c>
      <c r="E38" s="14" t="n">
        <v>0.02</v>
      </c>
      <c r="F38" s="14" t="n">
        <v>0.025</v>
      </c>
      <c r="L38" s="2" t="s">
        <v>137</v>
      </c>
    </row>
    <row r="39" customFormat="false" ht="15" hidden="false" customHeight="false" outlineLevel="0" collapsed="false">
      <c r="A39" s="11" t="s">
        <v>138</v>
      </c>
      <c r="B39" s="3" t="s">
        <v>139</v>
      </c>
      <c r="C39" s="2" t="s">
        <v>136</v>
      </c>
      <c r="D39" s="16" t="n">
        <v>0.005</v>
      </c>
      <c r="E39" s="16" t="n">
        <v>0.003</v>
      </c>
      <c r="F39" s="16" t="n">
        <v>0.002</v>
      </c>
      <c r="L39" s="2" t="s">
        <v>140</v>
      </c>
    </row>
    <row r="40" customFormat="false" ht="23.85" hidden="false" customHeight="false" outlineLevel="0" collapsed="false">
      <c r="A40" s="11" t="s">
        <v>141</v>
      </c>
      <c r="B40" s="3" t="s">
        <v>142</v>
      </c>
      <c r="C40" s="2" t="s">
        <v>136</v>
      </c>
      <c r="D40" s="16" t="n">
        <v>0.0075</v>
      </c>
      <c r="E40" s="16" t="n">
        <v>0.004</v>
      </c>
      <c r="F40" s="16" t="n">
        <v>0</v>
      </c>
      <c r="L40" s="2" t="s">
        <v>143</v>
      </c>
    </row>
    <row r="41" customFormat="false" ht="15" hidden="false" customHeight="false" outlineLevel="0" collapsed="false">
      <c r="A41" s="9" t="s">
        <v>144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customFormat="false" ht="15" hidden="false" customHeight="false" outlineLevel="0" collapsed="false">
      <c r="A42" s="11" t="s">
        <v>145</v>
      </c>
      <c r="B42" s="3" t="s">
        <v>146</v>
      </c>
      <c r="C42" s="2" t="s">
        <v>147</v>
      </c>
      <c r="D42" s="14" t="n">
        <v>0.01</v>
      </c>
      <c r="E42" s="14" t="n">
        <v>0.02</v>
      </c>
      <c r="F42" s="14" t="n">
        <v>0.03</v>
      </c>
      <c r="L42" s="2" t="s">
        <v>148</v>
      </c>
    </row>
    <row r="43" customFormat="false" ht="23.85" hidden="false" customHeight="false" outlineLevel="0" collapsed="false">
      <c r="A43" s="11" t="s">
        <v>149</v>
      </c>
      <c r="B43" s="3" t="s">
        <v>150</v>
      </c>
      <c r="C43" s="2" t="s">
        <v>151</v>
      </c>
      <c r="D43" s="14" t="n">
        <v>0.01</v>
      </c>
      <c r="E43" s="14" t="n">
        <v>0.03</v>
      </c>
      <c r="F43" s="14" t="n">
        <v>0.05</v>
      </c>
      <c r="L43" s="2" t="s">
        <v>152</v>
      </c>
    </row>
    <row r="44" customFormat="false" ht="15" hidden="false" customHeight="false" outlineLevel="0" collapsed="false">
      <c r="A44" s="11" t="s">
        <v>153</v>
      </c>
      <c r="B44" s="3" t="s">
        <v>154</v>
      </c>
      <c r="C44" s="2" t="s">
        <v>151</v>
      </c>
      <c r="D44" s="14" t="n">
        <v>0.005</v>
      </c>
      <c r="E44" s="14" t="n">
        <v>0.01</v>
      </c>
      <c r="F44" s="14" t="n">
        <v>0.02</v>
      </c>
      <c r="L44" s="2" t="s">
        <v>155</v>
      </c>
    </row>
    <row r="45" customFormat="false" ht="23.85" hidden="false" customHeight="false" outlineLevel="0" collapsed="false">
      <c r="A45" s="11" t="s">
        <v>156</v>
      </c>
      <c r="B45" s="3" t="s">
        <v>157</v>
      </c>
      <c r="C45" s="2" t="s">
        <v>158</v>
      </c>
      <c r="D45" s="14" t="n">
        <v>0.01</v>
      </c>
      <c r="E45" s="14" t="n">
        <v>0.02</v>
      </c>
      <c r="F45" s="14" t="n">
        <v>0.03</v>
      </c>
      <c r="L45" s="2" t="s">
        <v>159</v>
      </c>
    </row>
    <row r="46" customFormat="false" ht="15" hidden="false" customHeight="false" outlineLevel="0" collapsed="false">
      <c r="A46" s="9" t="s">
        <v>160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customFormat="false" ht="15" hidden="false" customHeight="false" outlineLevel="0" collapsed="false">
      <c r="A47" s="11" t="s">
        <v>161</v>
      </c>
      <c r="B47" s="3" t="s">
        <v>162</v>
      </c>
      <c r="C47" s="2" t="s">
        <v>99</v>
      </c>
      <c r="D47" s="13" t="n">
        <v>40</v>
      </c>
      <c r="E47" s="13" t="n">
        <v>25</v>
      </c>
      <c r="F47" s="13" t="n">
        <v>15</v>
      </c>
      <c r="L47" s="2" t="s">
        <v>72</v>
      </c>
    </row>
    <row r="48" customFormat="false" ht="15" hidden="false" customHeight="false" outlineLevel="0" collapsed="false">
      <c r="A48" s="11" t="s">
        <v>163</v>
      </c>
      <c r="B48" s="3" t="s">
        <v>164</v>
      </c>
      <c r="C48" s="2" t="s">
        <v>165</v>
      </c>
      <c r="D48" s="13" t="n">
        <v>2</v>
      </c>
      <c r="E48" s="13" t="n">
        <v>2</v>
      </c>
      <c r="F48" s="13" t="n">
        <v>2</v>
      </c>
      <c r="L48" s="2" t="s">
        <v>166</v>
      </c>
    </row>
    <row r="49" customFormat="false" ht="15" hidden="false" customHeight="false" outlineLevel="0" collapsed="false">
      <c r="A49" s="11" t="s">
        <v>167</v>
      </c>
      <c r="B49" s="3" t="s">
        <v>168</v>
      </c>
      <c r="C49" s="2" t="s">
        <v>169</v>
      </c>
      <c r="D49" s="15" t="n">
        <v>1</v>
      </c>
      <c r="E49" s="15" t="n">
        <v>0.6</v>
      </c>
      <c r="F49" s="15" t="n">
        <v>0.3</v>
      </c>
      <c r="L49" s="2" t="s">
        <v>72</v>
      </c>
    </row>
    <row r="50" customFormat="false" ht="15" hidden="false" customHeight="false" outlineLevel="0" collapsed="false">
      <c r="A50" s="11" t="s">
        <v>170</v>
      </c>
      <c r="B50" s="3" t="s">
        <v>171</v>
      </c>
      <c r="C50" s="2" t="s">
        <v>47</v>
      </c>
      <c r="D50" s="13" t="n">
        <v>25</v>
      </c>
      <c r="E50" s="13" t="n">
        <v>15</v>
      </c>
      <c r="F50" s="13" t="n">
        <v>10</v>
      </c>
      <c r="L50" s="2" t="s">
        <v>172</v>
      </c>
    </row>
    <row r="51" customFormat="false" ht="15" hidden="false" customHeight="false" outlineLevel="0" collapsed="false">
      <c r="A51" s="11" t="s">
        <v>173</v>
      </c>
      <c r="B51" s="3" t="s">
        <v>174</v>
      </c>
      <c r="C51" s="2" t="s">
        <v>99</v>
      </c>
      <c r="D51" s="13" t="n">
        <v>20</v>
      </c>
      <c r="E51" s="13" t="n">
        <v>12</v>
      </c>
      <c r="F51" s="13" t="n">
        <v>8</v>
      </c>
      <c r="L51" s="2" t="s">
        <v>175</v>
      </c>
    </row>
    <row r="52" customFormat="false" ht="15" hidden="false" customHeight="false" outlineLevel="0" collapsed="false">
      <c r="A52" s="11" t="s">
        <v>176</v>
      </c>
      <c r="B52" s="3" t="s">
        <v>177</v>
      </c>
      <c r="C52" s="2" t="s">
        <v>178</v>
      </c>
      <c r="D52" s="13" t="n">
        <v>250</v>
      </c>
      <c r="E52" s="13" t="n">
        <v>150</v>
      </c>
      <c r="F52" s="13" t="n">
        <v>100</v>
      </c>
      <c r="L52" s="2" t="s">
        <v>72</v>
      </c>
    </row>
    <row r="53" customFormat="false" ht="15" hidden="false" customHeight="false" outlineLevel="0" collapsed="false">
      <c r="A53" s="11" t="s">
        <v>179</v>
      </c>
      <c r="B53" s="3" t="s">
        <v>180</v>
      </c>
      <c r="C53" s="2" t="s">
        <v>132</v>
      </c>
      <c r="D53" s="13" t="n">
        <v>200</v>
      </c>
      <c r="E53" s="13" t="n">
        <v>140</v>
      </c>
      <c r="F53" s="13" t="n">
        <v>100</v>
      </c>
      <c r="L53" s="2" t="s">
        <v>181</v>
      </c>
    </row>
    <row r="54" customFormat="false" ht="15" hidden="false" customHeight="false" outlineLevel="0" collapsed="false">
      <c r="A54" s="11" t="s">
        <v>182</v>
      </c>
      <c r="B54" s="3" t="s">
        <v>183</v>
      </c>
      <c r="C54" s="2" t="s">
        <v>178</v>
      </c>
      <c r="D54" s="13" t="n">
        <v>100000</v>
      </c>
      <c r="E54" s="13" t="n">
        <v>50000</v>
      </c>
      <c r="F54" s="13" t="n">
        <v>25000</v>
      </c>
      <c r="L54" s="2" t="s">
        <v>72</v>
      </c>
    </row>
    <row r="55" customFormat="false" ht="15" hidden="false" customHeight="false" outlineLevel="0" collapsed="false">
      <c r="A55" s="9" t="s">
        <v>184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customFormat="false" ht="15" hidden="false" customHeight="false" outlineLevel="0" collapsed="false">
      <c r="A56" s="11" t="s">
        <v>185</v>
      </c>
      <c r="B56" s="3" t="s">
        <v>186</v>
      </c>
      <c r="C56" s="2" t="s">
        <v>47</v>
      </c>
      <c r="D56" s="13" t="n">
        <v>250000</v>
      </c>
      <c r="E56" s="13" t="n">
        <v>350000</v>
      </c>
      <c r="F56" s="13" t="n">
        <v>500000</v>
      </c>
      <c r="L56" s="2" t="s">
        <v>72</v>
      </c>
    </row>
    <row r="57" customFormat="false" ht="15" hidden="false" customHeight="false" outlineLevel="0" collapsed="false">
      <c r="A57" s="11" t="s">
        <v>187</v>
      </c>
      <c r="B57" s="3" t="s">
        <v>188</v>
      </c>
      <c r="C57" s="2" t="s">
        <v>47</v>
      </c>
      <c r="D57" s="13" t="n">
        <v>150000</v>
      </c>
      <c r="E57" s="13" t="n">
        <v>200000</v>
      </c>
      <c r="F57" s="13" t="n">
        <v>300000</v>
      </c>
      <c r="L57" s="2" t="s">
        <v>72</v>
      </c>
    </row>
    <row r="58" customFormat="false" ht="23.85" hidden="false" customHeight="false" outlineLevel="0" collapsed="false">
      <c r="A58" s="11" t="s">
        <v>189</v>
      </c>
      <c r="B58" s="3" t="s">
        <v>190</v>
      </c>
      <c r="C58" s="2" t="s">
        <v>147</v>
      </c>
      <c r="D58" s="14" t="n">
        <v>0.09</v>
      </c>
      <c r="E58" s="14" t="n">
        <v>0.1</v>
      </c>
      <c r="F58" s="14" t="n">
        <v>0.12</v>
      </c>
      <c r="L58" s="2" t="s">
        <v>191</v>
      </c>
    </row>
    <row r="59" customFormat="false" ht="15" hidden="false" customHeight="false" outlineLevel="0" collapsed="false">
      <c r="A59" s="11" t="s">
        <v>192</v>
      </c>
      <c r="B59" s="3" t="s">
        <v>193</v>
      </c>
      <c r="C59" s="2" t="s">
        <v>147</v>
      </c>
      <c r="D59" s="16" t="n">
        <v>0.003</v>
      </c>
      <c r="E59" s="16" t="n">
        <v>0.005</v>
      </c>
      <c r="F59" s="16" t="n">
        <v>0.01</v>
      </c>
      <c r="L59" s="2" t="s">
        <v>194</v>
      </c>
    </row>
    <row r="61" customFormat="false" ht="15" hidden="false" customHeight="false" outlineLevel="0" collapsed="false">
      <c r="A61" s="9" t="s">
        <v>195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15" hidden="false" customHeight="false" outlineLevel="0" collapsed="false">
      <c r="B62" s="17" t="s">
        <v>196</v>
      </c>
      <c r="D62" s="18" t="s">
        <v>197</v>
      </c>
      <c r="E62" s="18" t="s">
        <v>198</v>
      </c>
      <c r="F62" s="18" t="s">
        <v>199</v>
      </c>
      <c r="G62" s="18" t="s">
        <v>200</v>
      </c>
      <c r="H62" s="18" t="s">
        <v>201</v>
      </c>
      <c r="I62" s="18" t="s">
        <v>202</v>
      </c>
      <c r="J62" s="18" t="s">
        <v>203</v>
      </c>
      <c r="K62" s="18" t="s">
        <v>204</v>
      </c>
    </row>
    <row r="63" customFormat="false" ht="23.85" hidden="false" customHeight="false" outlineLevel="0" collapsed="false">
      <c r="A63" s="11" t="s">
        <v>205</v>
      </c>
      <c r="B63" s="3" t="s">
        <v>206</v>
      </c>
      <c r="C63" s="11" t="s">
        <v>207</v>
      </c>
      <c r="D63" s="14" t="n">
        <v>0.05</v>
      </c>
      <c r="E63" s="14" t="n">
        <v>0.15</v>
      </c>
      <c r="F63" s="14" t="n">
        <v>0.3</v>
      </c>
      <c r="G63" s="14" t="n">
        <v>0.45</v>
      </c>
      <c r="H63" s="14" t="n">
        <v>0.6</v>
      </c>
      <c r="I63" s="14" t="n">
        <v>0.7</v>
      </c>
      <c r="J63" s="14" t="n">
        <v>0.8</v>
      </c>
      <c r="K63" s="14" t="n">
        <v>0.85</v>
      </c>
      <c r="L63" s="2" t="s">
        <v>208</v>
      </c>
    </row>
    <row r="65" customFormat="false" ht="15" hidden="false" customHeight="false" outlineLevel="0" collapsed="false">
      <c r="A65" s="9" t="s">
        <v>209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25.5" hidden="false" customHeight="true" outlineLevel="0" collapsed="false">
      <c r="A66" s="11" t="s">
        <v>210</v>
      </c>
      <c r="B66" s="19" t="s">
        <v>211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customFormat="false" ht="25.5" hidden="false" customHeight="true" outlineLevel="0" collapsed="false">
      <c r="A67" s="11" t="s">
        <v>212</v>
      </c>
      <c r="B67" s="19" t="s">
        <v>213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customFormat="false" ht="25.5" hidden="false" customHeight="true" outlineLevel="0" collapsed="false">
      <c r="A68" s="11" t="s">
        <v>214</v>
      </c>
      <c r="B68" s="19" t="s">
        <v>215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customFormat="false" ht="25.5" hidden="false" customHeight="true" outlineLevel="0" collapsed="false">
      <c r="A69" s="11" t="s">
        <v>216</v>
      </c>
      <c r="B69" s="19" t="s">
        <v>217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customFormat="false" ht="25.5" hidden="false" customHeight="true" outlineLevel="0" collapsed="false">
      <c r="A70" s="11" t="s">
        <v>218</v>
      </c>
      <c r="B70" s="19" t="s">
        <v>219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customFormat="false" ht="25.5" hidden="false" customHeight="true" outlineLevel="0" collapsed="false">
      <c r="A71" s="11" t="s">
        <v>220</v>
      </c>
      <c r="B71" s="19" t="s">
        <v>221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customFormat="false" ht="25.5" hidden="false" customHeight="true" outlineLevel="0" collapsed="false">
      <c r="A72" s="11" t="s">
        <v>222</v>
      </c>
      <c r="B72" s="19" t="s">
        <v>223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customFormat="false" ht="25.5" hidden="false" customHeight="true" outlineLevel="0" collapsed="false">
      <c r="A73" s="11" t="s">
        <v>224</v>
      </c>
      <c r="B73" s="19" t="s">
        <v>225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</row>
  </sheetData>
  <mergeCells count="8">
    <mergeCell ref="B66:L66"/>
    <mergeCell ref="B67:L67"/>
    <mergeCell ref="B68:L68"/>
    <mergeCell ref="B69:L69"/>
    <mergeCell ref="B70:L70"/>
    <mergeCell ref="B71:L71"/>
    <mergeCell ref="B72:L72"/>
    <mergeCell ref="B73:L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80"/>
  </cols>
  <sheetData>
    <row r="1" customFormat="false" ht="16.15" hidden="false" customHeight="false" outlineLevel="0" collapsed="false">
      <c r="A1" s="5" t="s">
        <v>226</v>
      </c>
    </row>
    <row r="2" customFormat="false" ht="15" hidden="false" customHeight="false" outlineLevel="0" collapsed="false">
      <c r="A2" s="6" t="s">
        <v>227</v>
      </c>
    </row>
    <row r="4" customFormat="false" ht="35.05" hidden="false" customHeight="false" outlineLevel="0" collapsed="false">
      <c r="A4" s="7" t="s">
        <v>228</v>
      </c>
      <c r="B4" s="7" t="s">
        <v>196</v>
      </c>
      <c r="C4" s="7" t="s">
        <v>229</v>
      </c>
      <c r="D4" s="7" t="s">
        <v>230</v>
      </c>
      <c r="E4" s="7" t="s">
        <v>231</v>
      </c>
      <c r="F4" s="7" t="s">
        <v>232</v>
      </c>
      <c r="G4" s="7" t="s">
        <v>233</v>
      </c>
      <c r="H4" s="7" t="s">
        <v>234</v>
      </c>
      <c r="I4" s="7" t="s">
        <v>235</v>
      </c>
    </row>
    <row r="5" customFormat="false" ht="23.85" hidden="false" customHeight="false" outlineLevel="0" collapsed="false">
      <c r="A5" s="20" t="n">
        <v>1</v>
      </c>
      <c r="B5" s="21" t="s">
        <v>236</v>
      </c>
      <c r="C5" s="11" t="s">
        <v>237</v>
      </c>
      <c r="D5" s="11" t="s">
        <v>238</v>
      </c>
      <c r="E5" s="22" t="n">
        <v>4.5</v>
      </c>
      <c r="H5" s="22" t="n">
        <v>1.12</v>
      </c>
      <c r="I5" s="2" t="s">
        <v>239</v>
      </c>
    </row>
    <row r="6" customFormat="false" ht="15" hidden="false" customHeight="false" outlineLevel="0" collapsed="false">
      <c r="A6" s="20" t="n">
        <v>2</v>
      </c>
      <c r="B6" s="21" t="s">
        <v>240</v>
      </c>
      <c r="C6" s="11" t="s">
        <v>241</v>
      </c>
      <c r="D6" s="11" t="s">
        <v>238</v>
      </c>
      <c r="E6" s="22" t="n">
        <v>5</v>
      </c>
      <c r="H6" s="22" t="n">
        <v>1.17</v>
      </c>
      <c r="I6" s="2" t="s">
        <v>69</v>
      </c>
    </row>
    <row r="7" customFormat="false" ht="15" hidden="false" customHeight="false" outlineLevel="0" collapsed="false">
      <c r="A7" s="20" t="n">
        <v>3</v>
      </c>
      <c r="B7" s="21" t="s">
        <v>242</v>
      </c>
      <c r="C7" s="11" t="s">
        <v>243</v>
      </c>
      <c r="D7" s="11" t="s">
        <v>238</v>
      </c>
      <c r="E7" s="22" t="n">
        <v>5.1</v>
      </c>
      <c r="H7" s="22" t="n">
        <v>1.24</v>
      </c>
      <c r="I7" s="2" t="s">
        <v>66</v>
      </c>
    </row>
    <row r="8" customFormat="false" ht="15" hidden="false" customHeight="false" outlineLevel="0" collapsed="false">
      <c r="A8" s="20" t="n">
        <v>4</v>
      </c>
      <c r="B8" s="21" t="s">
        <v>244</v>
      </c>
      <c r="C8" s="11" t="s">
        <v>245</v>
      </c>
      <c r="D8" s="11" t="s">
        <v>238</v>
      </c>
      <c r="E8" s="22" t="n">
        <v>5.4</v>
      </c>
      <c r="H8" s="22" t="n">
        <v>1.3</v>
      </c>
      <c r="I8" s="2" t="s">
        <v>246</v>
      </c>
    </row>
    <row r="9" customFormat="false" ht="15" hidden="false" customHeight="false" outlineLevel="0" collapsed="false">
      <c r="A9" s="20" t="n">
        <v>5</v>
      </c>
      <c r="B9" s="21" t="s">
        <v>247</v>
      </c>
      <c r="C9" s="11" t="s">
        <v>248</v>
      </c>
      <c r="D9" s="11" t="s">
        <v>238</v>
      </c>
      <c r="E9" s="22" t="n">
        <v>5.67</v>
      </c>
      <c r="F9" s="23" t="n">
        <f aca="false">E9/E5-1</f>
        <v>0.26</v>
      </c>
      <c r="H9" s="22" t="n">
        <v>1.37</v>
      </c>
      <c r="I9" s="2" t="s">
        <v>60</v>
      </c>
    </row>
    <row r="10" customFormat="false" ht="15" hidden="false" customHeight="false" outlineLevel="0" collapsed="false">
      <c r="A10" s="20" t="n">
        <v>6</v>
      </c>
      <c r="B10" s="21" t="s">
        <v>249</v>
      </c>
      <c r="C10" s="11" t="s">
        <v>250</v>
      </c>
      <c r="D10" s="11" t="s">
        <v>238</v>
      </c>
      <c r="E10" s="22" t="n">
        <v>6.2</v>
      </c>
      <c r="F10" s="23" t="n">
        <f aca="false">E10/E6-1</f>
        <v>0.24</v>
      </c>
      <c r="H10" s="22" t="n">
        <v>1.44</v>
      </c>
      <c r="I10" s="2" t="s">
        <v>251</v>
      </c>
    </row>
    <row r="11" customFormat="false" ht="15" hidden="false" customHeight="false" outlineLevel="0" collapsed="false">
      <c r="A11" s="20" t="n">
        <v>7</v>
      </c>
      <c r="B11" s="21" t="s">
        <v>252</v>
      </c>
      <c r="C11" s="11" t="s">
        <v>253</v>
      </c>
      <c r="D11" s="11" t="s">
        <v>238</v>
      </c>
      <c r="E11" s="22" t="n">
        <v>6.5</v>
      </c>
      <c r="F11" s="23" t="n">
        <f aca="false">E11/E7-1</f>
        <v>0.274509803921569</v>
      </c>
      <c r="H11" s="22" t="n">
        <v>1.51</v>
      </c>
      <c r="I11" s="2" t="s">
        <v>254</v>
      </c>
    </row>
    <row r="12" customFormat="false" ht="15" hidden="false" customHeight="false" outlineLevel="0" collapsed="false">
      <c r="A12" s="20" t="n">
        <v>8</v>
      </c>
      <c r="B12" s="21" t="s">
        <v>255</v>
      </c>
      <c r="C12" s="11" t="s">
        <v>256</v>
      </c>
      <c r="D12" s="11" t="s">
        <v>238</v>
      </c>
      <c r="E12" s="22" t="n">
        <v>7.1</v>
      </c>
      <c r="F12" s="23" t="n">
        <f aca="false">E12/E8-1</f>
        <v>0.314814814814815</v>
      </c>
      <c r="H12" s="22" t="n">
        <v>1.57</v>
      </c>
      <c r="I12" s="2" t="s">
        <v>257</v>
      </c>
    </row>
    <row r="13" customFormat="false" ht="15" hidden="false" customHeight="false" outlineLevel="0" collapsed="false">
      <c r="A13" s="20" t="n">
        <v>9</v>
      </c>
      <c r="B13" s="21" t="s">
        <v>258</v>
      </c>
      <c r="C13" s="11" t="s">
        <v>259</v>
      </c>
      <c r="D13" s="11" t="s">
        <v>260</v>
      </c>
      <c r="E13" s="24" t="n">
        <f aca="false">FORECAST(A13,$E$5:$E$12,$A$5:$A$12)</f>
        <v>7.25178571428571</v>
      </c>
      <c r="F13" s="23" t="n">
        <f aca="false">E13/E9-1</f>
        <v>0.278974552784077</v>
      </c>
      <c r="G13" s="24" t="n">
        <f aca="false">GROWTH($E$5:$E$12,$A$5:$A$12,A13)</f>
        <v>7.41039763320086</v>
      </c>
      <c r="H13" s="24" t="n">
        <f aca="false">FORECAST(A13,$H$5:$H$12,$A$5:$A$12)</f>
        <v>1.63571428571429</v>
      </c>
      <c r="I13" s="11" t="s">
        <v>261</v>
      </c>
    </row>
    <row r="14" customFormat="false" ht="15" hidden="false" customHeight="false" outlineLevel="0" collapsed="false">
      <c r="A14" s="20" t="n">
        <v>10</v>
      </c>
      <c r="B14" s="21" t="s">
        <v>262</v>
      </c>
      <c r="C14" s="11" t="s">
        <v>263</v>
      </c>
      <c r="D14" s="11" t="s">
        <v>260</v>
      </c>
      <c r="E14" s="24" t="n">
        <f aca="false">FORECAST(A14,$E$5:$E$12,$A$5:$A$12)</f>
        <v>7.6002380952381</v>
      </c>
      <c r="F14" s="23" t="n">
        <f aca="false">E14/E10-1</f>
        <v>0.225844854070661</v>
      </c>
      <c r="G14" s="24" t="n">
        <f aca="false">GROWTH($E$5:$E$12,$A$5:$A$12,A14)</f>
        <v>7.8778783042268</v>
      </c>
      <c r="H14" s="24" t="n">
        <f aca="false">FORECAST(A14,$H$5:$H$12,$A$5:$A$12)</f>
        <v>1.70142857142857</v>
      </c>
      <c r="I14" s="11" t="s">
        <v>261</v>
      </c>
    </row>
    <row r="15" customFormat="false" ht="15" hidden="false" customHeight="false" outlineLevel="0" collapsed="false">
      <c r="A15" s="25" t="n">
        <v>11</v>
      </c>
      <c r="B15" s="26" t="s">
        <v>197</v>
      </c>
      <c r="C15" s="27" t="s">
        <v>264</v>
      </c>
      <c r="D15" s="27" t="s">
        <v>260</v>
      </c>
      <c r="E15" s="28" t="n">
        <f aca="false">FORECAST(A15,$E$5:$E$12,$A$5:$A$12)</f>
        <v>7.94869047619048</v>
      </c>
      <c r="F15" s="29" t="n">
        <f aca="false">E15/E11-1</f>
        <v>0.222875457875458</v>
      </c>
      <c r="G15" s="28" t="n">
        <f aca="false">GROWTH($E$5:$E$12,$A$5:$A$12,A15)</f>
        <v>8.37484972441358</v>
      </c>
      <c r="H15" s="28" t="n">
        <f aca="false">FORECAST(A15,$H$5:$H$12,$A$5:$A$12)</f>
        <v>1.76714285714286</v>
      </c>
      <c r="I15" s="11" t="s">
        <v>265</v>
      </c>
    </row>
    <row r="16" customFormat="false" ht="15" hidden="false" customHeight="false" outlineLevel="0" collapsed="false">
      <c r="A16" s="25" t="n">
        <v>12</v>
      </c>
      <c r="B16" s="26" t="s">
        <v>198</v>
      </c>
      <c r="C16" s="27" t="s">
        <v>266</v>
      </c>
      <c r="D16" s="27" t="s">
        <v>260</v>
      </c>
      <c r="E16" s="28" t="n">
        <f aca="false">FORECAST(A16,$E$5:$E$12,$A$5:$A$12)</f>
        <v>8.29714285714286</v>
      </c>
      <c r="F16" s="29" t="n">
        <f aca="false">E16/E12-1</f>
        <v>0.168611670020121</v>
      </c>
      <c r="G16" s="28" t="n">
        <f aca="false">GROWTH($E$5:$E$12,$A$5:$A$12,A16)</f>
        <v>8.90317230070416</v>
      </c>
      <c r="H16" s="28" t="n">
        <f aca="false">FORECAST(A16,$H$5:$H$12,$A$5:$A$12)</f>
        <v>1.83285714285714</v>
      </c>
      <c r="I16" s="11" t="s">
        <v>265</v>
      </c>
    </row>
    <row r="17" customFormat="false" ht="15" hidden="false" customHeight="false" outlineLevel="0" collapsed="false">
      <c r="A17" s="25" t="n">
        <v>13</v>
      </c>
      <c r="B17" s="26" t="s">
        <v>199</v>
      </c>
      <c r="C17" s="27" t="s">
        <v>267</v>
      </c>
      <c r="D17" s="27" t="s">
        <v>260</v>
      </c>
      <c r="E17" s="28" t="n">
        <f aca="false">FORECAST(A17,$E$5:$E$12,$A$5:$A$12)</f>
        <v>8.64559523809524</v>
      </c>
      <c r="F17" s="29" t="n">
        <f aca="false">E17/E13-1</f>
        <v>0.192202249035541</v>
      </c>
      <c r="G17" s="28" t="n">
        <f aca="false">GROWTH($E$5:$E$12,$A$5:$A$12,A17)</f>
        <v>9.46482380274306</v>
      </c>
      <c r="H17" s="28" t="n">
        <f aca="false">FORECAST(A17,$H$5:$H$12,$A$5:$A$12)</f>
        <v>1.89857142857143</v>
      </c>
      <c r="I17" s="11" t="s">
        <v>265</v>
      </c>
    </row>
    <row r="18" customFormat="false" ht="15" hidden="false" customHeight="false" outlineLevel="0" collapsed="false">
      <c r="A18" s="25" t="n">
        <v>14</v>
      </c>
      <c r="B18" s="26" t="s">
        <v>200</v>
      </c>
      <c r="C18" s="27" t="s">
        <v>268</v>
      </c>
      <c r="D18" s="27" t="s">
        <v>260</v>
      </c>
      <c r="E18" s="28" t="n">
        <f aca="false">FORECAST(A18,$E$5:$E$12,$A$5:$A$12)</f>
        <v>8.99404761904762</v>
      </c>
      <c r="F18" s="29" t="n">
        <f aca="false">E18/E14-1</f>
        <v>0.18339024466652</v>
      </c>
      <c r="G18" s="28" t="n">
        <f aca="false">GROWTH($E$5:$E$12,$A$5:$A$12,A18)</f>
        <v>10.0619067666349</v>
      </c>
      <c r="H18" s="28" t="n">
        <f aca="false">FORECAST(A18,$H$5:$H$12,$A$5:$A$12)</f>
        <v>1.96428571428571</v>
      </c>
      <c r="I18" s="11" t="s">
        <v>265</v>
      </c>
    </row>
    <row r="19" customFormat="false" ht="15" hidden="false" customHeight="false" outlineLevel="0" collapsed="false">
      <c r="A19" s="25" t="n">
        <v>15</v>
      </c>
      <c r="B19" s="26" t="s">
        <v>201</v>
      </c>
      <c r="C19" s="27" t="s">
        <v>269</v>
      </c>
      <c r="D19" s="27" t="s">
        <v>260</v>
      </c>
      <c r="E19" s="28" t="n">
        <f aca="false">FORECAST(A19,$E$5:$E$12,$A$5:$A$12)</f>
        <v>9.3425</v>
      </c>
      <c r="F19" s="29" t="n">
        <f aca="false">E19/E15-1</f>
        <v>0.175350836466025</v>
      </c>
      <c r="G19" s="28" t="n">
        <f aca="false">GROWTH($E$5:$E$12,$A$5:$A$12,A19)</f>
        <v>10.6966563657647</v>
      </c>
      <c r="H19" s="28" t="n">
        <f aca="false">FORECAST(A19,$H$5:$H$12,$A$5:$A$12)</f>
        <v>2.03</v>
      </c>
      <c r="I19" s="11" t="s">
        <v>265</v>
      </c>
    </row>
    <row r="20" customFormat="false" ht="15" hidden="false" customHeight="false" outlineLevel="0" collapsed="false">
      <c r="A20" s="25" t="n">
        <v>16</v>
      </c>
      <c r="B20" s="26" t="s">
        <v>202</v>
      </c>
      <c r="C20" s="27" t="s">
        <v>270</v>
      </c>
      <c r="D20" s="27" t="s">
        <v>260</v>
      </c>
      <c r="E20" s="28" t="n">
        <f aca="false">FORECAST(A20,$E$5:$E$12,$A$5:$A$12)</f>
        <v>9.69095238095238</v>
      </c>
      <c r="F20" s="29" t="n">
        <f aca="false">E20/E16-1</f>
        <v>0.16798668503214</v>
      </c>
      <c r="G20" s="28" t="n">
        <f aca="false">GROWTH($E$5:$E$12,$A$5:$A$12,A20)</f>
        <v>11.3714487781446</v>
      </c>
      <c r="H20" s="28" t="n">
        <f aca="false">FORECAST(A20,$H$5:$H$12,$A$5:$A$12)</f>
        <v>2.09571428571429</v>
      </c>
      <c r="I20" s="11" t="s">
        <v>265</v>
      </c>
    </row>
    <row r="21" customFormat="false" ht="15" hidden="false" customHeight="false" outlineLevel="0" collapsed="false">
      <c r="A21" s="25" t="n">
        <v>17</v>
      </c>
      <c r="B21" s="26" t="s">
        <v>203</v>
      </c>
      <c r="C21" s="27" t="s">
        <v>271</v>
      </c>
      <c r="D21" s="27" t="s">
        <v>260</v>
      </c>
      <c r="E21" s="28" t="n">
        <f aca="false">FORECAST(A21,$E$5:$E$12,$A$5:$A$12)</f>
        <v>10.0394047619048</v>
      </c>
      <c r="F21" s="29" t="n">
        <f aca="false">E21/E17-1</f>
        <v>0.161216143645953</v>
      </c>
      <c r="G21" s="28" t="n">
        <f aca="false">GROWTH($E$5:$E$12,$A$5:$A$12,A21)</f>
        <v>12.0888100816092</v>
      </c>
      <c r="H21" s="28" t="n">
        <f aca="false">FORECAST(A21,$H$5:$H$12,$A$5:$A$12)</f>
        <v>2.16142857142857</v>
      </c>
      <c r="I21" s="11" t="s">
        <v>265</v>
      </c>
    </row>
    <row r="22" customFormat="false" ht="15" hidden="false" customHeight="false" outlineLevel="0" collapsed="false">
      <c r="A22" s="25" t="n">
        <v>18</v>
      </c>
      <c r="B22" s="26" t="s">
        <v>204</v>
      </c>
      <c r="C22" s="27" t="s">
        <v>272</v>
      </c>
      <c r="D22" s="27" t="s">
        <v>260</v>
      </c>
      <c r="E22" s="28" t="n">
        <f aca="false">FORECAST(A22,$E$5:$E$12,$A$5:$A$12)</f>
        <v>10.3878571428571</v>
      </c>
      <c r="F22" s="29" t="n">
        <f aca="false">E22/E18-1</f>
        <v>0.154970218398412</v>
      </c>
      <c r="G22" s="28" t="n">
        <f aca="false">GROWTH($E$5:$E$12,$A$5:$A$12,A22)</f>
        <v>12.8514257101601</v>
      </c>
      <c r="H22" s="28" t="n">
        <f aca="false">FORECAST(A22,$H$5:$H$12,$A$5:$A$12)</f>
        <v>2.22714285714286</v>
      </c>
      <c r="I22" s="11" t="s">
        <v>265</v>
      </c>
    </row>
    <row r="25" customFormat="false" ht="15" hidden="false" customHeight="false" outlineLevel="0" collapsed="false">
      <c r="A25" s="9" t="s">
        <v>273</v>
      </c>
      <c r="B25" s="10"/>
      <c r="C25" s="10"/>
      <c r="D25" s="10"/>
      <c r="E25" s="10"/>
      <c r="F25" s="10"/>
      <c r="G25" s="10"/>
      <c r="H25" s="10"/>
      <c r="I25" s="10"/>
    </row>
    <row r="26" customFormat="false" ht="30" hidden="false" customHeight="true" outlineLevel="0" collapsed="false">
      <c r="B26" s="19" t="s">
        <v>274</v>
      </c>
      <c r="C26" s="19"/>
      <c r="D26" s="30" t="s">
        <v>275</v>
      </c>
      <c r="E26" s="30"/>
      <c r="F26" s="31" t="n">
        <v>2448</v>
      </c>
      <c r="I26" s="2" t="s">
        <v>276</v>
      </c>
    </row>
    <row r="27" customFormat="false" ht="30" hidden="false" customHeight="true" outlineLevel="0" collapsed="false">
      <c r="B27" s="19" t="s">
        <v>277</v>
      </c>
      <c r="C27" s="19"/>
      <c r="D27" s="30" t="s">
        <v>275</v>
      </c>
      <c r="E27" s="30"/>
      <c r="F27" s="31" t="n">
        <v>1350</v>
      </c>
      <c r="I27" s="2" t="s">
        <v>278</v>
      </c>
    </row>
    <row r="28" customFormat="false" ht="30" hidden="false" customHeight="true" outlineLevel="0" collapsed="false">
      <c r="B28" s="19" t="s">
        <v>279</v>
      </c>
      <c r="C28" s="19"/>
      <c r="D28" s="30" t="s">
        <v>280</v>
      </c>
      <c r="E28" s="30"/>
      <c r="F28" s="32" t="n">
        <v>0.55</v>
      </c>
      <c r="I28" s="2" t="s">
        <v>281</v>
      </c>
    </row>
    <row r="29" customFormat="false" ht="30" hidden="false" customHeight="true" outlineLevel="0" collapsed="false">
      <c r="B29" s="19" t="s">
        <v>282</v>
      </c>
      <c r="C29" s="19"/>
      <c r="D29" s="30" t="s">
        <v>275</v>
      </c>
      <c r="E29" s="30"/>
      <c r="F29" s="31" t="n">
        <v>203</v>
      </c>
      <c r="I29" s="2" t="s">
        <v>283</v>
      </c>
    </row>
    <row r="30" customFormat="false" ht="30" hidden="false" customHeight="true" outlineLevel="0" collapsed="false">
      <c r="B30" s="19" t="s">
        <v>284</v>
      </c>
      <c r="C30" s="19"/>
      <c r="D30" s="30" t="s">
        <v>275</v>
      </c>
      <c r="E30" s="30"/>
      <c r="F30" s="31" t="n">
        <v>220</v>
      </c>
      <c r="I30" s="2" t="s">
        <v>285</v>
      </c>
    </row>
    <row r="31" customFormat="false" ht="30" hidden="false" customHeight="true" outlineLevel="0" collapsed="false">
      <c r="B31" s="19" t="s">
        <v>286</v>
      </c>
      <c r="C31" s="19"/>
      <c r="D31" s="30" t="s">
        <v>275</v>
      </c>
      <c r="E31" s="30"/>
      <c r="F31" s="31" t="n">
        <v>814</v>
      </c>
      <c r="I31" s="2" t="s">
        <v>287</v>
      </c>
    </row>
    <row r="32" customFormat="false" ht="30" hidden="false" customHeight="true" outlineLevel="0" collapsed="false">
      <c r="B32" s="19" t="s">
        <v>288</v>
      </c>
      <c r="C32" s="19"/>
      <c r="D32" s="30" t="s">
        <v>275</v>
      </c>
      <c r="E32" s="30"/>
      <c r="F32" s="31" t="n">
        <v>601</v>
      </c>
      <c r="I32" s="2" t="s">
        <v>257</v>
      </c>
    </row>
    <row r="33" customFormat="false" ht="30" hidden="false" customHeight="true" outlineLevel="0" collapsed="false">
      <c r="B33" s="19" t="s">
        <v>289</v>
      </c>
      <c r="C33" s="19"/>
      <c r="D33" s="30" t="s">
        <v>290</v>
      </c>
      <c r="E33" s="30"/>
      <c r="F33" s="33" t="n">
        <f aca="false">F32/(E12*100000)*10000</f>
        <v>8.46478873239437</v>
      </c>
      <c r="I33" s="2" t="s">
        <v>291</v>
      </c>
    </row>
    <row r="34" customFormat="false" ht="30" hidden="false" customHeight="true" outlineLevel="0" collapsed="false">
      <c r="B34" s="19" t="s">
        <v>292</v>
      </c>
      <c r="C34" s="19"/>
      <c r="D34" s="30" t="s">
        <v>47</v>
      </c>
      <c r="E34" s="30"/>
      <c r="F34" s="34" t="n">
        <f aca="false">E12*1000000000000/(H12*10000000)/3</f>
        <v>150743.099787686</v>
      </c>
      <c r="I34" s="2" t="s">
        <v>293</v>
      </c>
    </row>
    <row r="35" customFormat="false" ht="30" hidden="false" customHeight="true" outlineLevel="0" collapsed="false">
      <c r="B35" s="19" t="s">
        <v>294</v>
      </c>
      <c r="C35" s="19"/>
      <c r="D35" s="30" t="s">
        <v>295</v>
      </c>
      <c r="E35" s="30"/>
      <c r="F35" s="23" t="n">
        <f aca="false">G22/E22-1</f>
        <v>0.23715849509896</v>
      </c>
      <c r="I35" s="2" t="s">
        <v>296</v>
      </c>
    </row>
    <row r="36" customFormat="false" ht="30" hidden="false" customHeight="true" outlineLevel="0" collapsed="false">
      <c r="B36" s="19" t="s">
        <v>297</v>
      </c>
      <c r="C36" s="19"/>
      <c r="D36" s="30" t="s">
        <v>275</v>
      </c>
      <c r="E36" s="30"/>
      <c r="F36" s="22" t="n">
        <v>45.87</v>
      </c>
      <c r="I36" s="2" t="s">
        <v>298</v>
      </c>
    </row>
    <row r="37" customFormat="false" ht="30" hidden="false" customHeight="true" outlineLevel="0" collapsed="false">
      <c r="B37" s="19" t="s">
        <v>299</v>
      </c>
      <c r="C37" s="19"/>
      <c r="D37" s="30" t="s">
        <v>275</v>
      </c>
      <c r="E37" s="30"/>
      <c r="F37" s="31" t="n">
        <v>1792.07</v>
      </c>
      <c r="I37" s="2" t="s">
        <v>298</v>
      </c>
    </row>
    <row r="38" customFormat="false" ht="30" hidden="false" customHeight="true" outlineLevel="0" collapsed="false">
      <c r="B38" s="19" t="s">
        <v>300</v>
      </c>
      <c r="C38" s="19"/>
      <c r="D38" s="30" t="s">
        <v>275</v>
      </c>
      <c r="E38" s="30"/>
      <c r="F38" s="22" t="n">
        <v>29.52</v>
      </c>
      <c r="I38" s="2" t="s">
        <v>301</v>
      </c>
    </row>
    <row r="39" customFormat="false" ht="30" hidden="false" customHeight="true" outlineLevel="0" collapsed="false">
      <c r="B39" s="19" t="s">
        <v>302</v>
      </c>
      <c r="C39" s="19"/>
      <c r="D39" s="30" t="s">
        <v>275</v>
      </c>
      <c r="E39" s="30"/>
      <c r="F39" s="22" t="n">
        <v>26.22</v>
      </c>
      <c r="I39" s="2" t="s">
        <v>303</v>
      </c>
    </row>
    <row r="40" customFormat="false" ht="30" hidden="false" customHeight="true" outlineLevel="0" collapsed="false">
      <c r="B40" s="19" t="s">
        <v>304</v>
      </c>
      <c r="C40" s="19"/>
      <c r="D40" s="30" t="s">
        <v>275</v>
      </c>
      <c r="E40" s="30"/>
      <c r="F40" s="31" t="n">
        <v>20419.56</v>
      </c>
      <c r="I40" s="2" t="s">
        <v>305</v>
      </c>
    </row>
    <row r="41" customFormat="false" ht="30" hidden="false" customHeight="true" outlineLevel="0" collapsed="false">
      <c r="B41" s="19" t="s">
        <v>306</v>
      </c>
      <c r="C41" s="19"/>
      <c r="D41" s="30" t="s">
        <v>275</v>
      </c>
      <c r="E41" s="30"/>
      <c r="F41" s="22" t="n">
        <v>70.01</v>
      </c>
      <c r="I41" s="2" t="s">
        <v>307</v>
      </c>
    </row>
  </sheetData>
  <mergeCells count="32"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6"/>
    <col collapsed="false" customWidth="true" hidden="false" outlineLevel="0" max="3" min="3" style="0" width="15"/>
    <col collapsed="false" customWidth="true" hidden="false" outlineLevel="0" max="11" min="4" style="0" width="12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5" t="s">
        <v>308</v>
      </c>
    </row>
    <row r="2" customFormat="false" ht="15" hidden="false" customHeight="false" outlineLevel="0" collapsed="false">
      <c r="A2" s="6" t="s">
        <v>309</v>
      </c>
    </row>
    <row r="4" customFormat="false" ht="15" hidden="false" customHeight="false" outlineLevel="0" collapsed="false">
      <c r="A4" s="7" t="s">
        <v>310</v>
      </c>
      <c r="B4" s="7" t="s">
        <v>196</v>
      </c>
      <c r="C4" s="7" t="s">
        <v>35</v>
      </c>
      <c r="D4" s="7" t="s">
        <v>197</v>
      </c>
      <c r="E4" s="7" t="s">
        <v>198</v>
      </c>
      <c r="F4" s="7" t="s">
        <v>199</v>
      </c>
      <c r="G4" s="7" t="s">
        <v>200</v>
      </c>
      <c r="H4" s="7" t="s">
        <v>201</v>
      </c>
      <c r="I4" s="7" t="s">
        <v>202</v>
      </c>
      <c r="J4" s="7" t="s">
        <v>203</v>
      </c>
      <c r="K4" s="7" t="s">
        <v>204</v>
      </c>
      <c r="L4" s="7" t="s">
        <v>311</v>
      </c>
    </row>
    <row r="5" customFormat="false" ht="15" hidden="false" customHeight="false" outlineLevel="0" collapsed="false">
      <c r="B5" s="11" t="s">
        <v>229</v>
      </c>
      <c r="D5" s="35" t="s">
        <v>264</v>
      </c>
      <c r="E5" s="35" t="s">
        <v>266</v>
      </c>
      <c r="F5" s="35" t="s">
        <v>267</v>
      </c>
      <c r="G5" s="35" t="s">
        <v>268</v>
      </c>
      <c r="H5" s="35" t="s">
        <v>269</v>
      </c>
      <c r="I5" s="35" t="s">
        <v>270</v>
      </c>
      <c r="J5" s="35" t="s">
        <v>271</v>
      </c>
      <c r="K5" s="35" t="s">
        <v>272</v>
      </c>
    </row>
    <row r="6" customFormat="false" ht="15" hidden="false" customHeight="false" outlineLevel="0" collapsed="false">
      <c r="B6" s="11" t="s">
        <v>312</v>
      </c>
      <c r="D6" s="36" t="n">
        <f aca="false">Baseline!A15</f>
        <v>11</v>
      </c>
      <c r="E6" s="36" t="n">
        <f aca="false">Baseline!A16</f>
        <v>12</v>
      </c>
      <c r="F6" s="36" t="n">
        <f aca="false">Baseline!A17</f>
        <v>13</v>
      </c>
      <c r="G6" s="36" t="n">
        <f aca="false">Baseline!A18</f>
        <v>14</v>
      </c>
      <c r="H6" s="36" t="n">
        <f aca="false">Baseline!A19</f>
        <v>15</v>
      </c>
      <c r="I6" s="36" t="n">
        <f aca="false">Baseline!A20</f>
        <v>16</v>
      </c>
      <c r="J6" s="36" t="n">
        <f aca="false">Baseline!A21</f>
        <v>17</v>
      </c>
      <c r="K6" s="36" t="n">
        <f aca="false">Baseline!A22</f>
        <v>18</v>
      </c>
    </row>
    <row r="8" customFormat="false" ht="15" hidden="false" customHeight="false" outlineLevel="0" collapsed="false">
      <c r="A8" s="37" t="s">
        <v>313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customFormat="false" ht="15" hidden="false" customHeight="false" outlineLevel="0" collapsed="false">
      <c r="A9" s="39"/>
      <c r="B9" s="40" t="s">
        <v>314</v>
      </c>
      <c r="C9" s="39"/>
      <c r="D9" s="39"/>
      <c r="E9" s="39"/>
      <c r="F9" s="39"/>
      <c r="G9" s="39"/>
      <c r="H9" s="39"/>
      <c r="I9" s="39"/>
      <c r="J9" s="39"/>
      <c r="K9" s="39"/>
      <c r="L9" s="39"/>
    </row>
    <row r="10" customFormat="false" ht="15" hidden="false" customHeight="false" outlineLevel="0" collapsed="false">
      <c r="A10" s="41" t="n">
        <v>1</v>
      </c>
      <c r="B10" s="21" t="s">
        <v>315</v>
      </c>
      <c r="C10" s="11" t="s">
        <v>316</v>
      </c>
      <c r="D10" s="42" t="n">
        <f aca="false">Baseline!H15*100</f>
        <v>176.714285714286</v>
      </c>
      <c r="E10" s="42" t="n">
        <f aca="false">Baseline!H16*100</f>
        <v>183.285714285714</v>
      </c>
      <c r="F10" s="42" t="n">
        <f aca="false">Baseline!H17*100</f>
        <v>189.857142857143</v>
      </c>
      <c r="G10" s="42" t="n">
        <f aca="false">Baseline!H18*100</f>
        <v>196.428571428571</v>
      </c>
      <c r="H10" s="42" t="n">
        <f aca="false">Baseline!H19*100</f>
        <v>203</v>
      </c>
      <c r="I10" s="42" t="n">
        <f aca="false">Baseline!H20*100</f>
        <v>209.571428571429</v>
      </c>
      <c r="J10" s="42" t="n">
        <f aca="false">Baseline!H21*100</f>
        <v>216.142857142857</v>
      </c>
      <c r="K10" s="42" t="n">
        <f aca="false">Baseline!H22*100</f>
        <v>222.714285714286</v>
      </c>
      <c r="L10" s="43" t="n">
        <f aca="false">K10</f>
        <v>222.714285714286</v>
      </c>
    </row>
    <row r="11" customFormat="false" ht="15" hidden="false" customHeight="false" outlineLevel="0" collapsed="false">
      <c r="A11" s="41" t="n">
        <v>2</v>
      </c>
      <c r="B11" s="21" t="s">
        <v>317</v>
      </c>
      <c r="C11" s="11" t="s">
        <v>207</v>
      </c>
      <c r="D11" s="44" t="n">
        <f aca="false">Assumptions!D$63</f>
        <v>0.05</v>
      </c>
      <c r="E11" s="44" t="n">
        <f aca="false">Assumptions!E$63</f>
        <v>0.15</v>
      </c>
      <c r="F11" s="44" t="n">
        <f aca="false">Assumptions!F$63</f>
        <v>0.3</v>
      </c>
      <c r="G11" s="44" t="n">
        <f aca="false">Assumptions!G$63</f>
        <v>0.45</v>
      </c>
      <c r="H11" s="44" t="n">
        <f aca="false">Assumptions!H$63</f>
        <v>0.6</v>
      </c>
      <c r="I11" s="44" t="n">
        <f aca="false">Assumptions!I$63</f>
        <v>0.7</v>
      </c>
      <c r="J11" s="44" t="n">
        <f aca="false">Assumptions!J$63</f>
        <v>0.8</v>
      </c>
      <c r="K11" s="44" t="n">
        <f aca="false">Assumptions!K$63</f>
        <v>0.85</v>
      </c>
      <c r="L11" s="45" t="n">
        <f aca="false">K11</f>
        <v>0.85</v>
      </c>
    </row>
    <row r="12" customFormat="false" ht="15" hidden="false" customHeight="false" outlineLevel="0" collapsed="false">
      <c r="A12" s="46"/>
      <c r="B12" s="47" t="s">
        <v>318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customFormat="false" ht="15" hidden="false" customHeight="false" outlineLevel="0" collapsed="false">
      <c r="A13" s="41" t="n">
        <v>3</v>
      </c>
      <c r="B13" s="21" t="s">
        <v>319</v>
      </c>
      <c r="C13" s="11" t="s">
        <v>316</v>
      </c>
      <c r="D13" s="48" t="n">
        <f aca="false">D10*Assumptions!$D$11</f>
        <v>114.864285714286</v>
      </c>
      <c r="E13" s="48" t="n">
        <f aca="false">E10*Assumptions!$D$11</f>
        <v>119.135714285714</v>
      </c>
      <c r="F13" s="48" t="n">
        <f aca="false">F10*Assumptions!$D$11</f>
        <v>123.407142857143</v>
      </c>
      <c r="G13" s="48" t="n">
        <f aca="false">G10*Assumptions!$D$11</f>
        <v>127.678571428571</v>
      </c>
      <c r="H13" s="48" t="n">
        <f aca="false">H10*Assumptions!$D$11</f>
        <v>131.95</v>
      </c>
      <c r="I13" s="48" t="n">
        <f aca="false">I10*Assumptions!$D$11</f>
        <v>136.221428571429</v>
      </c>
      <c r="J13" s="48" t="n">
        <f aca="false">J10*Assumptions!$D$11</f>
        <v>140.492857142857</v>
      </c>
      <c r="K13" s="48" t="n">
        <f aca="false">K10*Assumptions!$D$11</f>
        <v>144.764285714286</v>
      </c>
      <c r="L13" s="49" t="n">
        <f aca="false">K13</f>
        <v>144.764285714286</v>
      </c>
    </row>
    <row r="14" customFormat="false" ht="15" hidden="false" customHeight="false" outlineLevel="0" collapsed="false">
      <c r="A14" s="41" t="n">
        <v>4</v>
      </c>
      <c r="B14" s="21" t="s">
        <v>320</v>
      </c>
      <c r="C14" s="11" t="s">
        <v>316</v>
      </c>
      <c r="D14" s="50" t="n">
        <f aca="false">D13*D11*Assumptions!$D$19</f>
        <v>0.0287160714285714</v>
      </c>
      <c r="E14" s="50" t="n">
        <f aca="false">E13*E11*Assumptions!$D$19</f>
        <v>0.0893517857142857</v>
      </c>
      <c r="F14" s="50" t="n">
        <f aca="false">F13*F11*Assumptions!$D$19</f>
        <v>0.185110714285714</v>
      </c>
      <c r="G14" s="50" t="n">
        <f aca="false">G13*G11*Assumptions!$D$19</f>
        <v>0.287276785714286</v>
      </c>
      <c r="H14" s="50" t="n">
        <f aca="false">H13*H11*Assumptions!$D$19</f>
        <v>0.39585</v>
      </c>
      <c r="I14" s="50" t="n">
        <f aca="false">I13*I11*Assumptions!$D$19</f>
        <v>0.476775</v>
      </c>
      <c r="J14" s="50" t="n">
        <f aca="false">J13*J11*Assumptions!$D$19</f>
        <v>0.561971428571429</v>
      </c>
      <c r="K14" s="50" t="n">
        <f aca="false">K13*K11*Assumptions!$D$19</f>
        <v>0.615248214285714</v>
      </c>
      <c r="L14" s="51" t="n">
        <f aca="false">K14</f>
        <v>0.615248214285714</v>
      </c>
    </row>
    <row r="15" customFormat="false" ht="15" hidden="false" customHeight="false" outlineLevel="0" collapsed="false">
      <c r="A15" s="41" t="n">
        <v>5</v>
      </c>
      <c r="B15" s="21" t="s">
        <v>321</v>
      </c>
      <c r="C15" s="11" t="s">
        <v>316</v>
      </c>
      <c r="D15" s="50" t="n">
        <f aca="false">MAX(0,D14-N(C14))</f>
        <v>0.0287160714285714</v>
      </c>
      <c r="E15" s="50" t="n">
        <f aca="false">MAX(0,E14-N(D14))</f>
        <v>0.0606357142857143</v>
      </c>
      <c r="F15" s="50" t="n">
        <f aca="false">MAX(0,F14-N(E14))</f>
        <v>0.0957589285714285</v>
      </c>
      <c r="G15" s="50" t="n">
        <f aca="false">MAX(0,G14-N(F14))</f>
        <v>0.102166071428572</v>
      </c>
      <c r="H15" s="50" t="n">
        <f aca="false">MAX(0,H14-N(G14))</f>
        <v>0.108573214285714</v>
      </c>
      <c r="I15" s="50" t="n">
        <f aca="false">MAX(0,I14-N(H14))</f>
        <v>0.0809249999999999</v>
      </c>
      <c r="J15" s="50" t="n">
        <f aca="false">MAX(0,J14-N(I14))</f>
        <v>0.0851964285714286</v>
      </c>
      <c r="K15" s="50" t="n">
        <f aca="false">MAX(0,K14-N(J14))</f>
        <v>0.0532767857142858</v>
      </c>
      <c r="L15" s="52" t="n">
        <f aca="false">SUM(D15:K15)</f>
        <v>0.615248214285714</v>
      </c>
    </row>
    <row r="16" customFormat="false" ht="15" hidden="false" customHeight="false" outlineLevel="0" collapsed="false">
      <c r="A16" s="41" t="n">
        <v>6</v>
      </c>
      <c r="B16" s="21" t="s">
        <v>322</v>
      </c>
      <c r="C16" s="11" t="s">
        <v>316</v>
      </c>
      <c r="D16" s="50" t="n">
        <f aca="false">D14*1</f>
        <v>0.0287160714285714</v>
      </c>
      <c r="E16" s="50" t="n">
        <f aca="false">E14*1</f>
        <v>0.0893517857142857</v>
      </c>
      <c r="F16" s="50" t="n">
        <f aca="false">F14*1</f>
        <v>0.185110714285714</v>
      </c>
      <c r="G16" s="50" t="n">
        <f aca="false">G14*1</f>
        <v>0.287276785714286</v>
      </c>
      <c r="H16" s="50" t="n">
        <f aca="false">H14*1</f>
        <v>0.39585</v>
      </c>
      <c r="I16" s="50" t="n">
        <f aca="false">I14*1</f>
        <v>0.476775</v>
      </c>
      <c r="J16" s="50" t="n">
        <f aca="false">J14*1</f>
        <v>0.561971428571429</v>
      </c>
      <c r="K16" s="50" t="n">
        <f aca="false">K14*1</f>
        <v>0.615248214285714</v>
      </c>
      <c r="L16" s="51" t="n">
        <f aca="false">K16</f>
        <v>0.615248214285714</v>
      </c>
    </row>
    <row r="17" customFormat="false" ht="15" hidden="false" customHeight="false" outlineLevel="0" collapsed="false">
      <c r="A17" s="41" t="n">
        <v>7</v>
      </c>
      <c r="B17" s="21" t="s">
        <v>323</v>
      </c>
      <c r="C17" s="11" t="s">
        <v>316</v>
      </c>
      <c r="D17" s="50" t="n">
        <f aca="false">N(C17)+D14*Assumptions!$D$23/100/4</f>
        <v>7.17901785714286E-005</v>
      </c>
      <c r="E17" s="50" t="n">
        <f aca="false">N(D17)+E14*Assumptions!$D$23/100/4</f>
        <v>0.000295169642857143</v>
      </c>
      <c r="F17" s="50" t="n">
        <f aca="false">N(E17)+F14*Assumptions!$D$23/100/4</f>
        <v>0.000757946428571429</v>
      </c>
      <c r="G17" s="50" t="n">
        <f aca="false">N(F17)+G14*Assumptions!$D$23/100/4</f>
        <v>0.00147613839285714</v>
      </c>
      <c r="H17" s="50" t="n">
        <f aca="false">N(G17)+H14*Assumptions!$D$23/100/4</f>
        <v>0.00246576339285714</v>
      </c>
      <c r="I17" s="50" t="n">
        <f aca="false">N(H17)+I14*Assumptions!$D$23/100/4</f>
        <v>0.00365770089285714</v>
      </c>
      <c r="J17" s="50" t="n">
        <f aca="false">N(I17)+J14*Assumptions!$D$23/100/4</f>
        <v>0.00506262946428571</v>
      </c>
      <c r="K17" s="50" t="n">
        <f aca="false">N(J17)+K14*Assumptions!$D$23/100/4</f>
        <v>0.00660075</v>
      </c>
      <c r="L17" s="51" t="n">
        <f aca="false">K17</f>
        <v>0.00660075</v>
      </c>
    </row>
    <row r="18" customFormat="false" ht="15" hidden="false" customHeight="false" outlineLevel="0" collapsed="false">
      <c r="A18" s="41" t="n">
        <v>8</v>
      </c>
      <c r="B18" s="21" t="s">
        <v>324</v>
      </c>
      <c r="C18" s="11" t="s">
        <v>316</v>
      </c>
      <c r="D18" s="50" t="n">
        <f aca="false">D16+D17</f>
        <v>0.0287878616071429</v>
      </c>
      <c r="E18" s="50" t="n">
        <f aca="false">E16+E17</f>
        <v>0.0896469553571429</v>
      </c>
      <c r="F18" s="50" t="n">
        <f aca="false">F16+F17</f>
        <v>0.185868660714286</v>
      </c>
      <c r="G18" s="50" t="n">
        <f aca="false">G16+G17</f>
        <v>0.288752924107143</v>
      </c>
      <c r="H18" s="50" t="n">
        <f aca="false">H16+H17</f>
        <v>0.398315763392857</v>
      </c>
      <c r="I18" s="50" t="n">
        <f aca="false">I16+I17</f>
        <v>0.480432700892857</v>
      </c>
      <c r="J18" s="50" t="n">
        <f aca="false">J16+J17</f>
        <v>0.567034058035714</v>
      </c>
      <c r="K18" s="50" t="n">
        <f aca="false">K16+K17</f>
        <v>0.621848964285715</v>
      </c>
      <c r="L18" s="51" t="n">
        <f aca="false">K18</f>
        <v>0.621848964285715</v>
      </c>
    </row>
    <row r="19" customFormat="false" ht="15" hidden="false" customHeight="false" outlineLevel="0" collapsed="false">
      <c r="A19" s="41" t="n">
        <v>9</v>
      </c>
      <c r="B19" s="21" t="s">
        <v>325</v>
      </c>
      <c r="C19" s="11" t="s">
        <v>316</v>
      </c>
      <c r="D19" s="50" t="n">
        <f aca="false">D18*Assumptions!$D$30</f>
        <v>0.00143939308035714</v>
      </c>
      <c r="E19" s="50" t="n">
        <f aca="false">E18*Assumptions!$D$30</f>
        <v>0.00448234776785714</v>
      </c>
      <c r="F19" s="50" t="n">
        <f aca="false">F18*Assumptions!$D$30</f>
        <v>0.00929343303571429</v>
      </c>
      <c r="G19" s="50" t="n">
        <f aca="false">G18*Assumptions!$D$30</f>
        <v>0.0144376462053571</v>
      </c>
      <c r="H19" s="50" t="n">
        <f aca="false">H18*Assumptions!$D$30</f>
        <v>0.0199157881696429</v>
      </c>
      <c r="I19" s="50" t="n">
        <f aca="false">I18*Assumptions!$D$30</f>
        <v>0.0240216350446429</v>
      </c>
      <c r="J19" s="50" t="n">
        <f aca="false">J18*Assumptions!$D$30</f>
        <v>0.0283517029017857</v>
      </c>
      <c r="K19" s="50" t="n">
        <f aca="false">K18*Assumptions!$D$30</f>
        <v>0.0310924482142857</v>
      </c>
      <c r="L19" s="51" t="n">
        <f aca="false">K19</f>
        <v>0.0310924482142857</v>
      </c>
    </row>
    <row r="20" customFormat="false" ht="15" hidden="false" customHeight="false" outlineLevel="0" collapsed="false">
      <c r="A20" s="41" t="n">
        <v>10</v>
      </c>
      <c r="B20" s="21" t="s">
        <v>326</v>
      </c>
      <c r="C20" s="11" t="s">
        <v>316</v>
      </c>
      <c r="D20" s="50" t="n">
        <f aca="false">D14*Assumptions!$D$35</f>
        <v>0.00861482142857143</v>
      </c>
      <c r="E20" s="50" t="n">
        <f aca="false">E14*Assumptions!$D$35</f>
        <v>0.0268055357142857</v>
      </c>
      <c r="F20" s="50" t="n">
        <f aca="false">F14*Assumptions!$D$35</f>
        <v>0.0555332142857143</v>
      </c>
      <c r="G20" s="50" t="n">
        <f aca="false">G14*Assumptions!$D$35</f>
        <v>0.0861830357142857</v>
      </c>
      <c r="H20" s="50" t="n">
        <f aca="false">H14*Assumptions!$D$35</f>
        <v>0.118755</v>
      </c>
      <c r="I20" s="50" t="n">
        <f aca="false">I14*Assumptions!$D$35</f>
        <v>0.1430325</v>
      </c>
      <c r="J20" s="50" t="n">
        <f aca="false">J14*Assumptions!$D$35</f>
        <v>0.168591428571429</v>
      </c>
      <c r="K20" s="50" t="n">
        <f aca="false">K14*Assumptions!$D$35</f>
        <v>0.184574464285714</v>
      </c>
      <c r="L20" s="51" t="n">
        <f aca="false">K20</f>
        <v>0.184574464285714</v>
      </c>
    </row>
    <row r="21" customFormat="false" ht="15" hidden="false" customHeight="false" outlineLevel="0" collapsed="false">
      <c r="A21" s="41" t="n">
        <v>11</v>
      </c>
      <c r="B21" s="21" t="s">
        <v>327</v>
      </c>
      <c r="C21" s="11" t="s">
        <v>316</v>
      </c>
      <c r="D21" s="50" t="n">
        <f aca="false">D20*Assumptions!$D$36/4</f>
        <v>0.00323055803571429</v>
      </c>
      <c r="E21" s="50" t="n">
        <f aca="false">E20*Assumptions!$D$36/4</f>
        <v>0.0100520758928571</v>
      </c>
      <c r="F21" s="50" t="n">
        <f aca="false">F20*Assumptions!$D$36/4</f>
        <v>0.0208249553571429</v>
      </c>
      <c r="G21" s="50" t="n">
        <f aca="false">G20*Assumptions!$D$36/4</f>
        <v>0.0323186383928571</v>
      </c>
      <c r="H21" s="50" t="n">
        <f aca="false">H20*Assumptions!$D$36/4</f>
        <v>0.044533125</v>
      </c>
      <c r="I21" s="50" t="n">
        <f aca="false">I20*Assumptions!$D$36/4</f>
        <v>0.0536371875</v>
      </c>
      <c r="J21" s="50" t="n">
        <f aca="false">J20*Assumptions!$D$36/4</f>
        <v>0.0632217857142857</v>
      </c>
      <c r="K21" s="50" t="n">
        <f aca="false">K20*Assumptions!$D$36/4</f>
        <v>0.0692154241071429</v>
      </c>
      <c r="L21" s="52" t="n">
        <f aca="false">SUM(D21:K21)</f>
        <v>0.29703375</v>
      </c>
    </row>
    <row r="22" customFormat="false" ht="15" hidden="false" customHeight="false" outlineLevel="0" collapsed="false">
      <c r="A22" s="41" t="n">
        <v>12</v>
      </c>
      <c r="B22" s="21" t="s">
        <v>328</v>
      </c>
      <c r="C22" s="11" t="s">
        <v>275</v>
      </c>
      <c r="D22" s="53" t="n">
        <f aca="false">D21*Assumptions!$D$37*1/100</f>
        <v>1.29222321428571</v>
      </c>
      <c r="E22" s="53" t="n">
        <f aca="false">E21*Assumptions!$D$37*1/100</f>
        <v>4.02083035714286</v>
      </c>
      <c r="F22" s="53" t="n">
        <f aca="false">F21*Assumptions!$D$37*1/100</f>
        <v>8.32998214285714</v>
      </c>
      <c r="G22" s="53" t="n">
        <f aca="false">G21*Assumptions!$D$37*1/100</f>
        <v>12.9274553571429</v>
      </c>
      <c r="H22" s="53" t="n">
        <f aca="false">H21*Assumptions!$D$37*1/100</f>
        <v>17.81325</v>
      </c>
      <c r="I22" s="53" t="n">
        <f aca="false">I21*Assumptions!$D$37*1/100</f>
        <v>21.454875</v>
      </c>
      <c r="J22" s="53" t="n">
        <f aca="false">J21*Assumptions!$D$37*1/100</f>
        <v>25.2887142857143</v>
      </c>
      <c r="K22" s="53" t="n">
        <f aca="false">K21*Assumptions!$D$37*1/100</f>
        <v>27.6861696428571</v>
      </c>
      <c r="L22" s="54" t="n">
        <f aca="false">SUM(D22:K22)</f>
        <v>118.8135</v>
      </c>
    </row>
    <row r="23" customFormat="false" ht="15" hidden="false" customHeight="false" outlineLevel="0" collapsed="false">
      <c r="A23" s="41" t="n">
        <v>13</v>
      </c>
      <c r="B23" s="21" t="s">
        <v>329</v>
      </c>
      <c r="C23" s="11" t="s">
        <v>275</v>
      </c>
      <c r="D23" s="34" t="n">
        <f aca="false">D16*Assumptions!$D$8*3/100</f>
        <v>25.8444642857143</v>
      </c>
      <c r="E23" s="34" t="n">
        <f aca="false">E16*Assumptions!$D$8*3/100</f>
        <v>80.4166071428572</v>
      </c>
      <c r="F23" s="34" t="n">
        <f aca="false">F16*Assumptions!$D$8*3/100</f>
        <v>166.599642857143</v>
      </c>
      <c r="G23" s="34" t="n">
        <f aca="false">G16*Assumptions!$D$8*3/100</f>
        <v>258.549107142857</v>
      </c>
      <c r="H23" s="34" t="n">
        <f aca="false">H16*Assumptions!$D$8*3/100</f>
        <v>356.265</v>
      </c>
      <c r="I23" s="34" t="n">
        <f aca="false">I16*Assumptions!$D$8*3/100</f>
        <v>429.0975</v>
      </c>
      <c r="J23" s="34" t="n">
        <f aca="false">J16*Assumptions!$D$8*3/100</f>
        <v>505.774285714286</v>
      </c>
      <c r="K23" s="34" t="n">
        <f aca="false">K16*Assumptions!$D$8*3/100</f>
        <v>553.723392857143</v>
      </c>
      <c r="L23" s="55" t="n">
        <f aca="false">SUM(D23:K23)</f>
        <v>2376.27</v>
      </c>
    </row>
    <row r="24" customFormat="false" ht="15" hidden="false" customHeight="false" outlineLevel="0" collapsed="false">
      <c r="A24" s="41" t="n">
        <v>14</v>
      </c>
      <c r="B24" s="21" t="s">
        <v>330</v>
      </c>
      <c r="C24" s="11" t="s">
        <v>275</v>
      </c>
      <c r="D24" s="53" t="n">
        <f aca="false">D23*Assumptions!$D$42</f>
        <v>0.258444642857143</v>
      </c>
      <c r="E24" s="53" t="n">
        <f aca="false">E23*Assumptions!$D$42</f>
        <v>0.804166071428572</v>
      </c>
      <c r="F24" s="53" t="n">
        <f aca="false">F23*Assumptions!$D$42</f>
        <v>1.66599642857143</v>
      </c>
      <c r="G24" s="53" t="n">
        <f aca="false">G23*Assumptions!$D$42</f>
        <v>2.58549107142857</v>
      </c>
      <c r="H24" s="53" t="n">
        <f aca="false">H23*Assumptions!$D$42</f>
        <v>3.56265</v>
      </c>
      <c r="I24" s="53" t="n">
        <f aca="false">I23*Assumptions!$D$42</f>
        <v>4.290975</v>
      </c>
      <c r="J24" s="53" t="n">
        <f aca="false">J23*Assumptions!$D$42</f>
        <v>5.05774285714286</v>
      </c>
      <c r="K24" s="53" t="n">
        <f aca="false">K23*Assumptions!$D$42</f>
        <v>5.53723392857143</v>
      </c>
      <c r="L24" s="54" t="n">
        <f aca="false">SUM(D24:K24)</f>
        <v>23.7627</v>
      </c>
    </row>
    <row r="25" customFormat="false" ht="15" hidden="false" customHeight="false" outlineLevel="0" collapsed="false">
      <c r="A25" s="41" t="n">
        <v>15</v>
      </c>
      <c r="B25" s="21" t="s">
        <v>331</v>
      </c>
      <c r="C25" s="11" t="s">
        <v>275</v>
      </c>
      <c r="D25" s="53" t="n">
        <f aca="false">D19*Assumptions!$D$8*3/100*Assumptions!$D$44</f>
        <v>0.00647726886160714</v>
      </c>
      <c r="E25" s="53" t="n">
        <f aca="false">E19*Assumptions!$D$8*3/100*Assumptions!$D$44</f>
        <v>0.0201705649553571</v>
      </c>
      <c r="F25" s="53" t="n">
        <f aca="false">F19*Assumptions!$D$8*3/100*Assumptions!$D$44</f>
        <v>0.0418204486607143</v>
      </c>
      <c r="G25" s="53" t="n">
        <f aca="false">G19*Assumptions!$D$8*3/100*Assumptions!$D$44</f>
        <v>0.0649694079241072</v>
      </c>
      <c r="H25" s="53" t="n">
        <f aca="false">H19*Assumptions!$D$8*3/100*Assumptions!$D$44</f>
        <v>0.0896210467633929</v>
      </c>
      <c r="I25" s="53" t="n">
        <f aca="false">I19*Assumptions!$D$8*3/100*Assumptions!$D$44</f>
        <v>0.108097357700893</v>
      </c>
      <c r="J25" s="53" t="n">
        <f aca="false">J19*Assumptions!$D$8*3/100*Assumptions!$D$44</f>
        <v>0.127582663058036</v>
      </c>
      <c r="K25" s="53" t="n">
        <f aca="false">K19*Assumptions!$D$8*3/100*Assumptions!$D$44</f>
        <v>0.139916016964286</v>
      </c>
      <c r="L25" s="54" t="n">
        <f aca="false">SUM(D25:K25)</f>
        <v>0.598654774888393</v>
      </c>
    </row>
    <row r="26" customFormat="false" ht="15" hidden="false" customHeight="false" outlineLevel="0" collapsed="false">
      <c r="A26" s="41" t="n">
        <v>16</v>
      </c>
      <c r="B26" s="21" t="s">
        <v>332</v>
      </c>
      <c r="C26" s="11" t="s">
        <v>316</v>
      </c>
      <c r="D26" s="50" t="n">
        <f aca="false">N(C26)+D18*Assumptions!$D$45/4</f>
        <v>7.19696540178572E-005</v>
      </c>
      <c r="E26" s="50" t="n">
        <f aca="false">N(D26)+E18*Assumptions!$D$45/4</f>
        <v>0.000296087042410714</v>
      </c>
      <c r="F26" s="50" t="n">
        <f aca="false">N(E26)+F18*Assumptions!$D$45/4</f>
        <v>0.000760758694196429</v>
      </c>
      <c r="G26" s="50" t="n">
        <f aca="false">N(F26)+G18*Assumptions!$D$45/4</f>
        <v>0.00148264100446429</v>
      </c>
      <c r="H26" s="50" t="n">
        <f aca="false">N(G26)+H18*Assumptions!$D$45/4</f>
        <v>0.00247843041294643</v>
      </c>
      <c r="I26" s="50" t="n">
        <f aca="false">N(H26)+I18*Assumptions!$D$45/4</f>
        <v>0.00367951216517857</v>
      </c>
      <c r="J26" s="50" t="n">
        <f aca="false">N(I26)+J18*Assumptions!$D$45/4</f>
        <v>0.00509709731026786</v>
      </c>
      <c r="K26" s="50" t="n">
        <f aca="false">N(J26)+K18*Assumptions!$D$45/4</f>
        <v>0.00665171972098214</v>
      </c>
      <c r="L26" s="51" t="n">
        <f aca="false">K26</f>
        <v>0.00665171972098214</v>
      </c>
    </row>
    <row r="27" customFormat="false" ht="15" hidden="false" customHeight="false" outlineLevel="0" collapsed="false">
      <c r="A27" s="41" t="n">
        <v>17</v>
      </c>
      <c r="B27" s="21" t="s">
        <v>333</v>
      </c>
      <c r="C27" s="11" t="s">
        <v>275</v>
      </c>
      <c r="D27" s="53" t="n">
        <f aca="false">D26*Assumptions!$D$8*3/100</f>
        <v>0.0647726886160714</v>
      </c>
      <c r="E27" s="53" t="n">
        <f aca="false">E26*Assumptions!$D$8*3/100</f>
        <v>0.266478338169643</v>
      </c>
      <c r="F27" s="53" t="n">
        <f aca="false">F26*Assumptions!$D$8*3/100</f>
        <v>0.684682824776786</v>
      </c>
      <c r="G27" s="53" t="n">
        <f aca="false">G26*Assumptions!$D$8*3/100</f>
        <v>1.33437690401786</v>
      </c>
      <c r="H27" s="53" t="n">
        <f aca="false">H26*Assumptions!$D$8*3/100</f>
        <v>2.23058737165179</v>
      </c>
      <c r="I27" s="53" t="n">
        <f aca="false">I26*Assumptions!$D$8*3/100</f>
        <v>3.31156094866071</v>
      </c>
      <c r="J27" s="53" t="n">
        <f aca="false">J26*Assumptions!$D$8*3/100</f>
        <v>4.58738757924107</v>
      </c>
      <c r="K27" s="53" t="n">
        <f aca="false">K26*Assumptions!$D$8*3/100</f>
        <v>5.98654774888393</v>
      </c>
      <c r="L27" s="54" t="n">
        <f aca="false">SUM(D27:K27)</f>
        <v>18.4663944040179</v>
      </c>
    </row>
    <row r="28" customFormat="false" ht="15" hidden="false" customHeight="false" outlineLevel="0" collapsed="false">
      <c r="A28" s="41" t="n">
        <v>18</v>
      </c>
      <c r="B28" s="21" t="s">
        <v>334</v>
      </c>
      <c r="C28" s="11" t="s">
        <v>275</v>
      </c>
      <c r="D28" s="53" t="n">
        <f aca="false">D17*Assumptions!$D$8*3/100</f>
        <v>0.0646111607142857</v>
      </c>
      <c r="E28" s="53" t="n">
        <f aca="false">E17*Assumptions!$D$8*3/100</f>
        <v>0.265652678571429</v>
      </c>
      <c r="F28" s="53" t="n">
        <f aca="false">F17*Assumptions!$D$8*3/100</f>
        <v>0.682151785714286</v>
      </c>
      <c r="G28" s="53" t="n">
        <f aca="false">G17*Assumptions!$D$8*3/100</f>
        <v>1.32852455357143</v>
      </c>
      <c r="H28" s="53" t="n">
        <f aca="false">H17*Assumptions!$D$8*3/100</f>
        <v>2.21918705357143</v>
      </c>
      <c r="I28" s="53" t="n">
        <f aca="false">I17*Assumptions!$D$8*3/100</f>
        <v>3.29193080357143</v>
      </c>
      <c r="J28" s="53" t="n">
        <f aca="false">J17*Assumptions!$D$8*3/100</f>
        <v>4.55636651785714</v>
      </c>
      <c r="K28" s="53" t="n">
        <f aca="false">K17*Assumptions!$D$8*3/100</f>
        <v>5.940675</v>
      </c>
      <c r="L28" s="54" t="n">
        <f aca="false">SUM(D28:K28)</f>
        <v>18.3490995535714</v>
      </c>
    </row>
    <row r="29" customFormat="false" ht="15" hidden="false" customHeight="false" outlineLevel="0" collapsed="false">
      <c r="A29" s="41" t="n">
        <v>19</v>
      </c>
      <c r="B29" s="21" t="s">
        <v>335</v>
      </c>
      <c r="C29" s="11" t="s">
        <v>275</v>
      </c>
      <c r="D29" s="53" t="n">
        <f aca="false">D24+D25+D27+D28</f>
        <v>0.394305761049107</v>
      </c>
      <c r="E29" s="53" t="n">
        <f aca="false">E24+E25+E27+E28</f>
        <v>1.356467653125</v>
      </c>
      <c r="F29" s="53" t="n">
        <f aca="false">F24+F25+F27+F28</f>
        <v>3.07465148772321</v>
      </c>
      <c r="G29" s="53" t="n">
        <f aca="false">G24+G25+G27+G28</f>
        <v>5.31336193694196</v>
      </c>
      <c r="H29" s="53" t="n">
        <f aca="false">H24+H25+H27+H28</f>
        <v>8.10204547198661</v>
      </c>
      <c r="I29" s="53" t="n">
        <f aca="false">I24+I25+I27+I28</f>
        <v>11.002564109933</v>
      </c>
      <c r="J29" s="53" t="n">
        <f aca="false">J24+J25+J27+J28</f>
        <v>14.3290796172991</v>
      </c>
      <c r="K29" s="53" t="n">
        <f aca="false">K24+K25+K27+K28</f>
        <v>17.6043726944196</v>
      </c>
      <c r="L29" s="54" t="n">
        <f aca="false">SUM(D29:K29)</f>
        <v>61.1768487324777</v>
      </c>
    </row>
    <row r="30" customFormat="false" ht="15" hidden="false" customHeight="false" outlineLevel="0" collapsed="false">
      <c r="A30" s="41" t="n">
        <v>20</v>
      </c>
      <c r="B30" s="21" t="s">
        <v>336</v>
      </c>
      <c r="C30" s="11" t="s">
        <v>275</v>
      </c>
      <c r="D30" s="24" t="n">
        <f aca="false">D14*Assumptions!$D$25*3/100</f>
        <v>0.128360839285714</v>
      </c>
      <c r="E30" s="24" t="n">
        <f aca="false">E14*Assumptions!$D$25*3/100</f>
        <v>0.399402482142857</v>
      </c>
      <c r="F30" s="24" t="n">
        <f aca="false">F14*Assumptions!$D$25*3/100</f>
        <v>0.827444892857143</v>
      </c>
      <c r="G30" s="24" t="n">
        <f aca="false">G14*Assumptions!$D$25*3/100</f>
        <v>1.28412723214286</v>
      </c>
      <c r="H30" s="24" t="n">
        <f aca="false">H14*Assumptions!$D$25*3/100</f>
        <v>1.7694495</v>
      </c>
      <c r="I30" s="24" t="n">
        <f aca="false">I14*Assumptions!$D$25*3/100</f>
        <v>2.13118425</v>
      </c>
      <c r="J30" s="24" t="n">
        <f aca="false">J14*Assumptions!$D$25*3/100</f>
        <v>2.51201228571429</v>
      </c>
      <c r="K30" s="24" t="n">
        <f aca="false">K14*Assumptions!$D$25*3/100</f>
        <v>2.75015951785714</v>
      </c>
      <c r="L30" s="56" t="n">
        <f aca="false">SUM(D30:K30)</f>
        <v>11.802141</v>
      </c>
    </row>
    <row r="31" customFormat="false" ht="15" hidden="false" customHeight="false" outlineLevel="0" collapsed="false">
      <c r="A31" s="41" t="n">
        <v>21</v>
      </c>
      <c r="B31" s="21" t="s">
        <v>337</v>
      </c>
      <c r="C31" s="11" t="s">
        <v>275</v>
      </c>
      <c r="D31" s="24" t="n">
        <f aca="false">D19*Assumptions!$D$29*3/100</f>
        <v>0.00341136160044643</v>
      </c>
      <c r="E31" s="24" t="n">
        <f aca="false">E19*Assumptions!$D$29*3/100</f>
        <v>0.0106231642098214</v>
      </c>
      <c r="F31" s="24" t="n">
        <f aca="false">F19*Assumptions!$D$29*3/100</f>
        <v>0.0220254362946429</v>
      </c>
      <c r="G31" s="24" t="n">
        <f aca="false">G19*Assumptions!$D$29*3/100</f>
        <v>0.0342172215066964</v>
      </c>
      <c r="H31" s="24" t="n">
        <f aca="false">H19*Assumptions!$D$29*3/100</f>
        <v>0.0472004179620536</v>
      </c>
      <c r="I31" s="24" t="n">
        <f aca="false">I19*Assumptions!$D$29*3/100</f>
        <v>0.0569312750558036</v>
      </c>
      <c r="J31" s="24" t="n">
        <f aca="false">J19*Assumptions!$D$29*3/100</f>
        <v>0.0671935358772322</v>
      </c>
      <c r="K31" s="24" t="n">
        <f aca="false">K19*Assumptions!$D$29*3/100</f>
        <v>0.0736891022678572</v>
      </c>
      <c r="L31" s="56" t="n">
        <f aca="false">SUM(D31:K31)</f>
        <v>0.315291514774554</v>
      </c>
    </row>
    <row r="32" customFormat="false" ht="15" hidden="false" customHeight="false" outlineLevel="0" collapsed="false">
      <c r="A32" s="41" t="n">
        <v>22</v>
      </c>
      <c r="B32" s="21" t="s">
        <v>338</v>
      </c>
      <c r="C32" s="11" t="s">
        <v>275</v>
      </c>
      <c r="D32" s="24" t="n">
        <f aca="false">D14*Assumptions!$D$33*Assumptions!$D$32*3/100</f>
        <v>0.00680570892857143</v>
      </c>
      <c r="E32" s="24" t="n">
        <f aca="false">E14*Assumptions!$D$33*Assumptions!$D$32*3/100</f>
        <v>0.0211763732142857</v>
      </c>
      <c r="F32" s="24" t="n">
        <f aca="false">F14*Assumptions!$D$33*Assumptions!$D$32*3/100</f>
        <v>0.0438712392857143</v>
      </c>
      <c r="G32" s="24" t="n">
        <f aca="false">G14*Assumptions!$D$33*Assumptions!$D$32*3/100</f>
        <v>0.0680845982142857</v>
      </c>
      <c r="H32" s="24" t="n">
        <f aca="false">H14*Assumptions!$D$33*Assumptions!$D$32*3/100</f>
        <v>0.09381645</v>
      </c>
      <c r="I32" s="24" t="n">
        <f aca="false">I14*Assumptions!$D$33*Assumptions!$D$32*3/100</f>
        <v>0.112995675</v>
      </c>
      <c r="J32" s="24" t="n">
        <f aca="false">J14*Assumptions!$D$33*Assumptions!$D$32*3/100</f>
        <v>0.133187228571429</v>
      </c>
      <c r="K32" s="24" t="n">
        <f aca="false">K14*Assumptions!$D$33*Assumptions!$D$32*3/100</f>
        <v>0.145813826785714</v>
      </c>
      <c r="L32" s="56" t="n">
        <f aca="false">SUM(D32:K32)</f>
        <v>0.6257511</v>
      </c>
    </row>
    <row r="33" customFormat="false" ht="15" hidden="false" customHeight="false" outlineLevel="0" collapsed="false">
      <c r="A33" s="41" t="n">
        <v>23</v>
      </c>
      <c r="B33" s="21" t="s">
        <v>339</v>
      </c>
      <c r="C33" s="11" t="s">
        <v>275</v>
      </c>
      <c r="D33" s="24" t="n">
        <f aca="false">D22*Assumptions!$D$38</f>
        <v>0.0193833482142857</v>
      </c>
      <c r="E33" s="24" t="n">
        <f aca="false">E22*Assumptions!$D$38</f>
        <v>0.0603124553571429</v>
      </c>
      <c r="F33" s="24" t="n">
        <f aca="false">F22*Assumptions!$D$38</f>
        <v>0.124949732142857</v>
      </c>
      <c r="G33" s="24" t="n">
        <f aca="false">G22*Assumptions!$D$38</f>
        <v>0.193911830357143</v>
      </c>
      <c r="H33" s="24" t="n">
        <f aca="false">H22*Assumptions!$D$38</f>
        <v>0.26719875</v>
      </c>
      <c r="I33" s="24" t="n">
        <f aca="false">I22*Assumptions!$D$38</f>
        <v>0.321823125</v>
      </c>
      <c r="J33" s="24" t="n">
        <f aca="false">J22*Assumptions!$D$38</f>
        <v>0.379330714285714</v>
      </c>
      <c r="K33" s="24" t="n">
        <f aca="false">K22*Assumptions!$D$38</f>
        <v>0.415292544642857</v>
      </c>
      <c r="L33" s="56" t="n">
        <f aca="false">SUM(D33:K33)</f>
        <v>1.7822025</v>
      </c>
    </row>
    <row r="34" customFormat="false" ht="15" hidden="false" customHeight="false" outlineLevel="0" collapsed="false">
      <c r="A34" s="41" t="n">
        <v>24</v>
      </c>
      <c r="B34" s="21" t="s">
        <v>340</v>
      </c>
      <c r="C34" s="11" t="s">
        <v>275</v>
      </c>
      <c r="D34" s="24" t="n">
        <f aca="false">D29*Assumptions!$D$6</f>
        <v>0.000157722304419643</v>
      </c>
      <c r="E34" s="24" t="n">
        <f aca="false">E29*Assumptions!$D$6</f>
        <v>0.00054258706125</v>
      </c>
      <c r="F34" s="24" t="n">
        <f aca="false">F29*Assumptions!$D$6</f>
        <v>0.00122986059508929</v>
      </c>
      <c r="G34" s="24" t="n">
        <f aca="false">G29*Assumptions!$D$6</f>
        <v>0.00212534477477679</v>
      </c>
      <c r="H34" s="24" t="n">
        <f aca="false">H29*Assumptions!$D$6</f>
        <v>0.00324081818879464</v>
      </c>
      <c r="I34" s="24" t="n">
        <f aca="false">I29*Assumptions!$D$6</f>
        <v>0.00440102564397321</v>
      </c>
      <c r="J34" s="24" t="n">
        <f aca="false">J29*Assumptions!$D$6</f>
        <v>0.00573163184691964</v>
      </c>
      <c r="K34" s="24" t="n">
        <f aca="false">K29*Assumptions!$D$6</f>
        <v>0.00704174907776786</v>
      </c>
      <c r="L34" s="56" t="n">
        <f aca="false">SUM(D34:K34)</f>
        <v>0.0244707394929911</v>
      </c>
    </row>
    <row r="35" customFormat="false" ht="15" hidden="false" customHeight="false" outlineLevel="0" collapsed="false">
      <c r="A35" s="41" t="n">
        <v>25</v>
      </c>
      <c r="B35" s="21" t="s">
        <v>341</v>
      </c>
      <c r="C35" s="11" t="s">
        <v>275</v>
      </c>
      <c r="D35" s="24" t="n">
        <f aca="false">(D26+D17)*Assumptions!$D$9*3/100</f>
        <v>0.000345023598214286</v>
      </c>
      <c r="E35" s="24" t="n">
        <f aca="false">(E26+E17)*Assumptions!$D$9*3/100</f>
        <v>0.00141901604464286</v>
      </c>
      <c r="F35" s="24" t="n">
        <f aca="false">(F26+F17)*Assumptions!$D$9*3/100</f>
        <v>0.00364489229464286</v>
      </c>
      <c r="G35" s="24" t="n">
        <f aca="false">(G26+G17)*Assumptions!$D$9*3/100</f>
        <v>0.00710107055357143</v>
      </c>
      <c r="H35" s="24" t="n">
        <f aca="false">(H26+H17)*Assumptions!$D$9*3/100</f>
        <v>0.0118660651339286</v>
      </c>
      <c r="I35" s="24" t="n">
        <f aca="false">(I26+I17)*Assumptions!$D$9*3/100</f>
        <v>0.0176093113392857</v>
      </c>
      <c r="J35" s="24" t="n">
        <f aca="false">(J26+J17)*Assumptions!$D$9*3/100</f>
        <v>0.0243833442589286</v>
      </c>
      <c r="K35" s="24" t="n">
        <f aca="false">(K26+K17)*Assumptions!$D$9*3/100</f>
        <v>0.0318059273303572</v>
      </c>
      <c r="L35" s="56" t="n">
        <f aca="false">SUM(D35:K35)</f>
        <v>0.0981746505535714</v>
      </c>
    </row>
    <row r="36" customFormat="false" ht="15" hidden="false" customHeight="false" outlineLevel="0" collapsed="false">
      <c r="A36" s="41" t="n">
        <v>26</v>
      </c>
      <c r="B36" s="21" t="s">
        <v>342</v>
      </c>
      <c r="C36" s="11" t="s">
        <v>275</v>
      </c>
      <c r="D36" s="24" t="n">
        <f aca="false">SUM(D30:D35)</f>
        <v>0.158464003931652</v>
      </c>
      <c r="E36" s="24" t="n">
        <f aca="false">SUM(E30:E35)</f>
        <v>0.49347607803</v>
      </c>
      <c r="F36" s="24" t="n">
        <f aca="false">SUM(F30:F35)</f>
        <v>1.02316605347009</v>
      </c>
      <c r="G36" s="24" t="n">
        <f aca="false">SUM(G30:G35)</f>
        <v>1.58956729754933</v>
      </c>
      <c r="H36" s="24" t="n">
        <f aca="false">SUM(H30:H35)</f>
        <v>2.19277200128478</v>
      </c>
      <c r="I36" s="24" t="n">
        <f aca="false">SUM(I30:I35)</f>
        <v>2.64494466203906</v>
      </c>
      <c r="J36" s="24" t="n">
        <f aca="false">SUM(J30:J35)</f>
        <v>3.12183874055451</v>
      </c>
      <c r="K36" s="24" t="n">
        <f aca="false">SUM(K30:K35)</f>
        <v>3.4238026679617</v>
      </c>
      <c r="L36" s="56" t="n">
        <f aca="false">SUM(D36:K36)</f>
        <v>14.6480315048211</v>
      </c>
    </row>
    <row r="37" customFormat="false" ht="15" hidden="false" customHeight="false" outlineLevel="0" collapsed="false">
      <c r="A37" s="41" t="n">
        <v>27</v>
      </c>
      <c r="B37" s="21" t="s">
        <v>343</v>
      </c>
      <c r="C37" s="11" t="s">
        <v>275</v>
      </c>
      <c r="D37" s="24" t="n">
        <f aca="false">D18*Assumptions!$D$47*3/100</f>
        <v>0.0345454339285714</v>
      </c>
      <c r="E37" s="24" t="n">
        <f aca="false">E18*Assumptions!$D$47*3/100</f>
        <v>0.107576346428571</v>
      </c>
      <c r="F37" s="24" t="n">
        <f aca="false">F18*Assumptions!$D$47*3/100</f>
        <v>0.223042392857143</v>
      </c>
      <c r="G37" s="24" t="n">
        <f aca="false">G18*Assumptions!$D$47*3/100</f>
        <v>0.346503508928571</v>
      </c>
      <c r="H37" s="24" t="n">
        <f aca="false">H18*Assumptions!$D$47*3/100</f>
        <v>0.477978916071429</v>
      </c>
      <c r="I37" s="24" t="n">
        <f aca="false">I18*Assumptions!$D$47*3/100</f>
        <v>0.576519241071429</v>
      </c>
      <c r="J37" s="24" t="n">
        <f aca="false">J18*Assumptions!$D$47*3/100</f>
        <v>0.680440869642857</v>
      </c>
      <c r="K37" s="24" t="n">
        <f aca="false">K18*Assumptions!$D$47*3/100</f>
        <v>0.746218757142857</v>
      </c>
      <c r="L37" s="56" t="n">
        <f aca="false">SUM(D37:K37)</f>
        <v>3.19282546607143</v>
      </c>
    </row>
    <row r="38" customFormat="false" ht="15" hidden="false" customHeight="false" outlineLevel="0" collapsed="false">
      <c r="A38" s="41" t="n">
        <v>28</v>
      </c>
      <c r="B38" s="21" t="s">
        <v>344</v>
      </c>
      <c r="C38" s="11" t="s">
        <v>275</v>
      </c>
      <c r="D38" s="24" t="n">
        <f aca="false">D19*Assumptions!$D$48*90*Assumptions!$D$49/100</f>
        <v>0.00259090754464286</v>
      </c>
      <c r="E38" s="24" t="n">
        <f aca="false">E19*Assumptions!$D$48*90*Assumptions!$D$49/100</f>
        <v>0.00806822598214286</v>
      </c>
      <c r="F38" s="24" t="n">
        <f aca="false">F19*Assumptions!$D$48*90*Assumptions!$D$49/100</f>
        <v>0.0167281794642857</v>
      </c>
      <c r="G38" s="24" t="n">
        <f aca="false">G19*Assumptions!$D$48*90*Assumptions!$D$49/100</f>
        <v>0.0259877631696429</v>
      </c>
      <c r="H38" s="24" t="n">
        <f aca="false">H19*Assumptions!$D$48*90*Assumptions!$D$49/100</f>
        <v>0.0358484187053572</v>
      </c>
      <c r="I38" s="24" t="n">
        <f aca="false">I19*Assumptions!$D$48*90*Assumptions!$D$49/100</f>
        <v>0.0432389430803571</v>
      </c>
      <c r="J38" s="24" t="n">
        <f aca="false">J19*Assumptions!$D$48*90*Assumptions!$D$49/100</f>
        <v>0.0510330652232143</v>
      </c>
      <c r="K38" s="24" t="n">
        <f aca="false">K19*Assumptions!$D$48*90*Assumptions!$D$49/100</f>
        <v>0.0559664067857143</v>
      </c>
      <c r="L38" s="56" t="n">
        <f aca="false">SUM(D38:K38)</f>
        <v>0.239461909955357</v>
      </c>
    </row>
    <row r="39" customFormat="false" ht="15" hidden="false" customHeight="false" outlineLevel="0" collapsed="false">
      <c r="A39" s="41" t="n">
        <v>29</v>
      </c>
      <c r="B39" s="21" t="s">
        <v>345</v>
      </c>
      <c r="C39" s="11" t="s">
        <v>275</v>
      </c>
      <c r="D39" s="24" t="n">
        <f aca="false">D14*Assumptions!$D$50*3/100</f>
        <v>0.0215370535714286</v>
      </c>
      <c r="E39" s="24" t="n">
        <f aca="false">E14*Assumptions!$D$50*3/100</f>
        <v>0.0670138392857143</v>
      </c>
      <c r="F39" s="24" t="n">
        <f aca="false">F14*Assumptions!$D$50*3/100</f>
        <v>0.138833035714286</v>
      </c>
      <c r="G39" s="24" t="n">
        <f aca="false">G14*Assumptions!$D$50*3/100</f>
        <v>0.215457589285714</v>
      </c>
      <c r="H39" s="24" t="n">
        <f aca="false">H14*Assumptions!$D$50*3/100</f>
        <v>0.2968875</v>
      </c>
      <c r="I39" s="24" t="n">
        <f aca="false">I14*Assumptions!$D$50*3/100</f>
        <v>0.35758125</v>
      </c>
      <c r="J39" s="24" t="n">
        <f aca="false">J14*Assumptions!$D$50*3/100</f>
        <v>0.421478571428571</v>
      </c>
      <c r="K39" s="24" t="n">
        <f aca="false">K14*Assumptions!$D$50*3/100</f>
        <v>0.461436160714286</v>
      </c>
      <c r="L39" s="56" t="n">
        <f aca="false">SUM(D39:K39)</f>
        <v>1.980225</v>
      </c>
    </row>
    <row r="40" customFormat="false" ht="15" hidden="false" customHeight="false" outlineLevel="0" collapsed="false">
      <c r="A40" s="41" t="n">
        <v>30</v>
      </c>
      <c r="B40" s="21" t="s">
        <v>346</v>
      </c>
      <c r="C40" s="11" t="s">
        <v>275</v>
      </c>
      <c r="D40" s="24" t="n">
        <f aca="false">D18*Assumptions!$D$51*3/100</f>
        <v>0.0172727169642857</v>
      </c>
      <c r="E40" s="24" t="n">
        <f aca="false">E18*Assumptions!$D$51*3/100</f>
        <v>0.0537881732142857</v>
      </c>
      <c r="F40" s="24" t="n">
        <f aca="false">F18*Assumptions!$D$51*3/100</f>
        <v>0.111521196428571</v>
      </c>
      <c r="G40" s="24" t="n">
        <f aca="false">G18*Assumptions!$D$51*3/100</f>
        <v>0.173251754464286</v>
      </c>
      <c r="H40" s="24" t="n">
        <f aca="false">H18*Assumptions!$D$51*3/100</f>
        <v>0.238989458035714</v>
      </c>
      <c r="I40" s="24" t="n">
        <f aca="false">I18*Assumptions!$D$51*3/100</f>
        <v>0.288259620535714</v>
      </c>
      <c r="J40" s="24" t="n">
        <f aca="false">J18*Assumptions!$D$51*3/100</f>
        <v>0.340220434821429</v>
      </c>
      <c r="K40" s="24" t="n">
        <f aca="false">K18*Assumptions!$D$51*3/100</f>
        <v>0.373109378571429</v>
      </c>
      <c r="L40" s="56" t="n">
        <f aca="false">SUM(D40:K40)</f>
        <v>1.59641273303571</v>
      </c>
    </row>
    <row r="41" customFormat="false" ht="15" hidden="false" customHeight="false" outlineLevel="0" collapsed="false">
      <c r="A41" s="41" t="n">
        <v>31</v>
      </c>
      <c r="B41" s="21" t="s">
        <v>347</v>
      </c>
      <c r="C41" s="11" t="s">
        <v>275</v>
      </c>
      <c r="D41" s="24" t="n">
        <f aca="false">D15*(Assumptions!$D$52+Assumptions!$D$53*1)/100</f>
        <v>0.129222321428571</v>
      </c>
      <c r="E41" s="24" t="n">
        <f aca="false">E15*(Assumptions!$D$52+Assumptions!$D$53*1)/100</f>
        <v>0.272860714285714</v>
      </c>
      <c r="F41" s="24" t="n">
        <f aca="false">F15*(Assumptions!$D$52+Assumptions!$D$53*1)/100</f>
        <v>0.430915178571428</v>
      </c>
      <c r="G41" s="24" t="n">
        <f aca="false">G15*(Assumptions!$D$52+Assumptions!$D$53*1)/100</f>
        <v>0.459747321428572</v>
      </c>
      <c r="H41" s="24" t="n">
        <f aca="false">H15*(Assumptions!$D$52+Assumptions!$D$53*1)/100</f>
        <v>0.488579464285714</v>
      </c>
      <c r="I41" s="24" t="n">
        <f aca="false">I15*(Assumptions!$D$52+Assumptions!$D$53*1)/100</f>
        <v>0.3641625</v>
      </c>
      <c r="J41" s="24" t="n">
        <f aca="false">J15*(Assumptions!$D$52+Assumptions!$D$53*1)/100</f>
        <v>0.383383928571429</v>
      </c>
      <c r="K41" s="24" t="n">
        <f aca="false">K15*(Assumptions!$D$52+Assumptions!$D$53*1)/100</f>
        <v>0.239745535714286</v>
      </c>
      <c r="L41" s="56" t="n">
        <f aca="false">SUM(D41:K41)</f>
        <v>2.76861696428572</v>
      </c>
    </row>
    <row r="42" customFormat="false" ht="15" hidden="false" customHeight="false" outlineLevel="0" collapsed="false">
      <c r="A42" s="41" t="n">
        <v>32</v>
      </c>
      <c r="B42" s="21" t="s">
        <v>348</v>
      </c>
      <c r="C42" s="11" t="s">
        <v>275</v>
      </c>
      <c r="D42" s="24" t="n">
        <f aca="false">D22*Assumptions!$D$39</f>
        <v>0.00646111607142857</v>
      </c>
      <c r="E42" s="24" t="n">
        <f aca="false">E22*Assumptions!$D$39</f>
        <v>0.0201041517857143</v>
      </c>
      <c r="F42" s="24" t="n">
        <f aca="false">F22*Assumptions!$D$39</f>
        <v>0.0416499107142857</v>
      </c>
      <c r="G42" s="24" t="n">
        <f aca="false">G22*Assumptions!$D$39</f>
        <v>0.0646372767857143</v>
      </c>
      <c r="H42" s="24" t="n">
        <f aca="false">H22*Assumptions!$D$39</f>
        <v>0.08906625</v>
      </c>
      <c r="I42" s="24" t="n">
        <f aca="false">I22*Assumptions!$D$39</f>
        <v>0.107274375</v>
      </c>
      <c r="J42" s="24" t="n">
        <f aca="false">J22*Assumptions!$D$39</f>
        <v>0.126443571428571</v>
      </c>
      <c r="K42" s="24" t="n">
        <f aca="false">K22*Assumptions!$D$39</f>
        <v>0.138430848214286</v>
      </c>
      <c r="L42" s="56" t="n">
        <f aca="false">SUM(D42:K42)</f>
        <v>0.5940675</v>
      </c>
    </row>
    <row r="43" customFormat="false" ht="15" hidden="false" customHeight="false" outlineLevel="0" collapsed="false">
      <c r="A43" s="41" t="n">
        <v>33</v>
      </c>
      <c r="B43" s="21" t="s">
        <v>349</v>
      </c>
      <c r="C43" s="11" t="s">
        <v>275</v>
      </c>
      <c r="D43" s="24" t="n">
        <f aca="false">D22*Assumptions!$D$40</f>
        <v>0.00969167410714286</v>
      </c>
      <c r="E43" s="24" t="n">
        <f aca="false">E22*Assumptions!$D$40</f>
        <v>0.0301562276785714</v>
      </c>
      <c r="F43" s="24" t="n">
        <f aca="false">F22*Assumptions!$D$40</f>
        <v>0.0624748660714286</v>
      </c>
      <c r="G43" s="24" t="n">
        <f aca="false">G22*Assumptions!$D$40</f>
        <v>0.0969559151785714</v>
      </c>
      <c r="H43" s="24" t="n">
        <f aca="false">H22*Assumptions!$D$40</f>
        <v>0.133599375</v>
      </c>
      <c r="I43" s="24" t="n">
        <f aca="false">I22*Assumptions!$D$40</f>
        <v>0.1609115625</v>
      </c>
      <c r="J43" s="24" t="n">
        <f aca="false">J22*Assumptions!$D$40</f>
        <v>0.189665357142857</v>
      </c>
      <c r="K43" s="24" t="n">
        <f aca="false">K22*Assumptions!$D$40</f>
        <v>0.207646272321429</v>
      </c>
      <c r="L43" s="56" t="n">
        <f aca="false">SUM(D43:K43)</f>
        <v>0.89110125</v>
      </c>
    </row>
    <row r="44" customFormat="false" ht="15" hidden="false" customHeight="false" outlineLevel="0" collapsed="false">
      <c r="A44" s="41" t="n">
        <v>34</v>
      </c>
      <c r="B44" s="21" t="s">
        <v>350</v>
      </c>
      <c r="C44" s="11" t="s">
        <v>275</v>
      </c>
      <c r="D44" s="24" t="n">
        <f aca="false">SUM(D37:D43)</f>
        <v>0.221321223616071</v>
      </c>
      <c r="E44" s="24" t="n">
        <f aca="false">SUM(E37:E43)</f>
        <v>0.559567678660714</v>
      </c>
      <c r="F44" s="24" t="n">
        <f aca="false">SUM(F37:F43)</f>
        <v>1.02516475982143</v>
      </c>
      <c r="G44" s="24" t="n">
        <f aca="false">SUM(G37:G43)</f>
        <v>1.38254112924107</v>
      </c>
      <c r="H44" s="24" t="n">
        <f aca="false">SUM(H37:H43)</f>
        <v>1.76094938209821</v>
      </c>
      <c r="I44" s="24" t="n">
        <f aca="false">SUM(I37:I43)</f>
        <v>1.8979474921875</v>
      </c>
      <c r="J44" s="24" t="n">
        <f aca="false">SUM(J37:J43)</f>
        <v>2.19266579825893</v>
      </c>
      <c r="K44" s="24" t="n">
        <f aca="false">SUM(K37:K43)</f>
        <v>2.22255335946429</v>
      </c>
      <c r="L44" s="56" t="n">
        <f aca="false">SUM(D44:K44)</f>
        <v>11.2627108233482</v>
      </c>
    </row>
    <row r="45" customFormat="false" ht="15" hidden="false" customHeight="false" outlineLevel="0" collapsed="false">
      <c r="A45" s="41" t="n">
        <v>35</v>
      </c>
      <c r="B45" s="17" t="s">
        <v>351</v>
      </c>
      <c r="C45" s="11" t="s">
        <v>275</v>
      </c>
      <c r="D45" s="56" t="n">
        <f aca="false">D36-D44</f>
        <v>-0.0628572196844196</v>
      </c>
      <c r="E45" s="56" t="n">
        <f aca="false">E36-E44</f>
        <v>-0.0660916006307143</v>
      </c>
      <c r="F45" s="56" t="n">
        <f aca="false">F36-F44</f>
        <v>-0.00199870635133914</v>
      </c>
      <c r="G45" s="56" t="n">
        <f aca="false">G36-G44</f>
        <v>0.207026168308259</v>
      </c>
      <c r="H45" s="56" t="n">
        <f aca="false">H36-H44</f>
        <v>0.431822619186563</v>
      </c>
      <c r="I45" s="56" t="n">
        <f aca="false">I36-I44</f>
        <v>0.746997169851563</v>
      </c>
      <c r="J45" s="56" t="n">
        <f aca="false">J36-J44</f>
        <v>0.92917294229558</v>
      </c>
      <c r="K45" s="56" t="n">
        <f aca="false">K36-K44</f>
        <v>1.20124930849741</v>
      </c>
      <c r="L45" s="56" t="n">
        <f aca="false">SUM(D45:K45)</f>
        <v>3.3853206814729</v>
      </c>
    </row>
    <row r="46" customFormat="false" ht="15" hidden="false" customHeight="false" outlineLevel="0" collapsed="false">
      <c r="A46" s="46"/>
      <c r="B46" s="47" t="s">
        <v>352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customFormat="false" ht="15" hidden="false" customHeight="false" outlineLevel="0" collapsed="false">
      <c r="A47" s="41" t="n">
        <v>36</v>
      </c>
      <c r="B47" s="21" t="s">
        <v>319</v>
      </c>
      <c r="C47" s="11" t="s">
        <v>316</v>
      </c>
      <c r="D47" s="48" t="n">
        <f aca="false">D10*Assumptions!$D$12</f>
        <v>3.53428571428571</v>
      </c>
      <c r="E47" s="48" t="n">
        <f aca="false">E10*Assumptions!$D$12</f>
        <v>3.66571428571429</v>
      </c>
      <c r="F47" s="48" t="n">
        <f aca="false">F10*Assumptions!$D$12</f>
        <v>3.79714285714286</v>
      </c>
      <c r="G47" s="48" t="n">
        <f aca="false">G10*Assumptions!$D$12</f>
        <v>3.92857142857143</v>
      </c>
      <c r="H47" s="48" t="n">
        <f aca="false">H10*Assumptions!$D$12</f>
        <v>4.06</v>
      </c>
      <c r="I47" s="48" t="n">
        <f aca="false">I10*Assumptions!$D$12</f>
        <v>4.19142857142857</v>
      </c>
      <c r="J47" s="48" t="n">
        <f aca="false">J10*Assumptions!$D$12</f>
        <v>4.32285714285714</v>
      </c>
      <c r="K47" s="48" t="n">
        <f aca="false">K10*Assumptions!$D$12</f>
        <v>4.45428571428572</v>
      </c>
      <c r="L47" s="49" t="n">
        <f aca="false">K47</f>
        <v>4.45428571428572</v>
      </c>
    </row>
    <row r="48" customFormat="false" ht="15" hidden="false" customHeight="false" outlineLevel="0" collapsed="false">
      <c r="A48" s="41" t="n">
        <v>37</v>
      </c>
      <c r="B48" s="21" t="s">
        <v>320</v>
      </c>
      <c r="C48" s="11" t="s">
        <v>316</v>
      </c>
      <c r="D48" s="50" t="n">
        <f aca="false">D47*D11*Assumptions!$D$20</f>
        <v>0.00883571428571429</v>
      </c>
      <c r="E48" s="50" t="n">
        <f aca="false">E47*E11*Assumptions!$D$20</f>
        <v>0.0274928571428572</v>
      </c>
      <c r="F48" s="50" t="n">
        <f aca="false">F47*F11*Assumptions!$D$20</f>
        <v>0.0569571428571429</v>
      </c>
      <c r="G48" s="50" t="n">
        <f aca="false">G47*G11*Assumptions!$D$20</f>
        <v>0.0883928571428572</v>
      </c>
      <c r="H48" s="50" t="n">
        <f aca="false">H47*H11*Assumptions!$D$20</f>
        <v>0.1218</v>
      </c>
      <c r="I48" s="50" t="n">
        <f aca="false">I47*I11*Assumptions!$D$20</f>
        <v>0.1467</v>
      </c>
      <c r="J48" s="50" t="n">
        <f aca="false">J47*J11*Assumptions!$D$20</f>
        <v>0.172914285714286</v>
      </c>
      <c r="K48" s="50" t="n">
        <f aca="false">K47*K11*Assumptions!$D$20</f>
        <v>0.189307142857143</v>
      </c>
      <c r="L48" s="51" t="n">
        <f aca="false">K48</f>
        <v>0.189307142857143</v>
      </c>
    </row>
    <row r="49" customFormat="false" ht="15" hidden="false" customHeight="false" outlineLevel="0" collapsed="false">
      <c r="A49" s="41" t="n">
        <v>38</v>
      </c>
      <c r="B49" s="21" t="s">
        <v>321</v>
      </c>
      <c r="C49" s="11" t="s">
        <v>316</v>
      </c>
      <c r="D49" s="50" t="n">
        <f aca="false">MAX(0,D48-N(C48))</f>
        <v>0.00883571428571429</v>
      </c>
      <c r="E49" s="50" t="n">
        <f aca="false">MAX(0,E48-N(D48))</f>
        <v>0.0186571428571429</v>
      </c>
      <c r="F49" s="50" t="n">
        <f aca="false">MAX(0,F48-N(E48))</f>
        <v>0.0294642857142857</v>
      </c>
      <c r="G49" s="50" t="n">
        <f aca="false">MAX(0,G48-N(F48))</f>
        <v>0.0314357142857143</v>
      </c>
      <c r="H49" s="50" t="n">
        <f aca="false">MAX(0,H48-N(G48))</f>
        <v>0.0334071428571429</v>
      </c>
      <c r="I49" s="50" t="n">
        <f aca="false">MAX(0,I48-N(H48))</f>
        <v>0.0249</v>
      </c>
      <c r="J49" s="50" t="n">
        <f aca="false">MAX(0,J48-N(I48))</f>
        <v>0.0262142857142857</v>
      </c>
      <c r="K49" s="50" t="n">
        <f aca="false">MAX(0,K48-N(J48))</f>
        <v>0.0163928571428572</v>
      </c>
      <c r="L49" s="52" t="n">
        <f aca="false">SUM(D49:K49)</f>
        <v>0.189307142857143</v>
      </c>
    </row>
    <row r="50" customFormat="false" ht="15" hidden="false" customHeight="false" outlineLevel="0" collapsed="false">
      <c r="A50" s="41" t="n">
        <v>39</v>
      </c>
      <c r="B50" s="21" t="s">
        <v>322</v>
      </c>
      <c r="C50" s="11" t="s">
        <v>316</v>
      </c>
      <c r="D50" s="50" t="n">
        <f aca="false">D48*Assumptions!$D$15</f>
        <v>0.0203221428571429</v>
      </c>
      <c r="E50" s="50" t="n">
        <f aca="false">E48*Assumptions!$D$15</f>
        <v>0.0632335714285714</v>
      </c>
      <c r="F50" s="50" t="n">
        <f aca="false">F48*Assumptions!$D$15</f>
        <v>0.131001428571429</v>
      </c>
      <c r="G50" s="50" t="n">
        <f aca="false">G48*Assumptions!$D$15</f>
        <v>0.203303571428571</v>
      </c>
      <c r="H50" s="50" t="n">
        <f aca="false">H48*Assumptions!$D$15</f>
        <v>0.28014</v>
      </c>
      <c r="I50" s="50" t="n">
        <f aca="false">I48*Assumptions!$D$15</f>
        <v>0.33741</v>
      </c>
      <c r="J50" s="50" t="n">
        <f aca="false">J48*Assumptions!$D$15</f>
        <v>0.397702857142857</v>
      </c>
      <c r="K50" s="50" t="n">
        <f aca="false">K48*Assumptions!$D$15</f>
        <v>0.435406428571429</v>
      </c>
      <c r="L50" s="51" t="n">
        <f aca="false">K50</f>
        <v>0.435406428571429</v>
      </c>
    </row>
    <row r="51" customFormat="false" ht="15" hidden="false" customHeight="false" outlineLevel="0" collapsed="false">
      <c r="A51" s="41" t="n">
        <v>40</v>
      </c>
      <c r="B51" s="21" t="s">
        <v>323</v>
      </c>
      <c r="C51" s="11" t="s">
        <v>316</v>
      </c>
      <c r="D51" s="50" t="n">
        <f aca="false">N(C51)+D48*Assumptions!$D$23/100/4</f>
        <v>2.20892857142857E-005</v>
      </c>
      <c r="E51" s="50" t="n">
        <f aca="false">N(D51)+E48*Assumptions!$D$23/100/4</f>
        <v>9.08214285714286E-005</v>
      </c>
      <c r="F51" s="50" t="n">
        <f aca="false">N(E51)+F48*Assumptions!$D$23/100/4</f>
        <v>0.000233214285714286</v>
      </c>
      <c r="G51" s="50" t="n">
        <f aca="false">N(F51)+G48*Assumptions!$D$23/100/4</f>
        <v>0.000454196428571429</v>
      </c>
      <c r="H51" s="50" t="n">
        <f aca="false">N(G51)+H48*Assumptions!$D$23/100/4</f>
        <v>0.000758696428571429</v>
      </c>
      <c r="I51" s="50" t="n">
        <f aca="false">N(H51)+I48*Assumptions!$D$23/100/4</f>
        <v>0.00112544642857143</v>
      </c>
      <c r="J51" s="50" t="n">
        <f aca="false">N(I51)+J48*Assumptions!$D$23/100/4</f>
        <v>0.00155773214285714</v>
      </c>
      <c r="K51" s="50" t="n">
        <f aca="false">N(J51)+K48*Assumptions!$D$23/100/4</f>
        <v>0.002031</v>
      </c>
      <c r="L51" s="51" t="n">
        <f aca="false">K51</f>
        <v>0.002031</v>
      </c>
    </row>
    <row r="52" customFormat="false" ht="15" hidden="false" customHeight="false" outlineLevel="0" collapsed="false">
      <c r="A52" s="41" t="n">
        <v>41</v>
      </c>
      <c r="B52" s="21" t="s">
        <v>324</v>
      </c>
      <c r="C52" s="11" t="s">
        <v>316</v>
      </c>
      <c r="D52" s="50" t="n">
        <f aca="false">D50+D51</f>
        <v>0.0203442321428571</v>
      </c>
      <c r="E52" s="50" t="n">
        <f aca="false">E50+E51</f>
        <v>0.0633243928571429</v>
      </c>
      <c r="F52" s="50" t="n">
        <f aca="false">F50+F51</f>
        <v>0.131234642857143</v>
      </c>
      <c r="G52" s="50" t="n">
        <f aca="false">G50+G51</f>
        <v>0.203757767857143</v>
      </c>
      <c r="H52" s="50" t="n">
        <f aca="false">H50+H51</f>
        <v>0.280898696428571</v>
      </c>
      <c r="I52" s="50" t="n">
        <f aca="false">I50+I51</f>
        <v>0.338535446428571</v>
      </c>
      <c r="J52" s="50" t="n">
        <f aca="false">J50+J51</f>
        <v>0.399260589285714</v>
      </c>
      <c r="K52" s="50" t="n">
        <f aca="false">K50+K51</f>
        <v>0.437437428571429</v>
      </c>
      <c r="L52" s="51" t="n">
        <f aca="false">K52</f>
        <v>0.437437428571429</v>
      </c>
    </row>
    <row r="53" customFormat="false" ht="15" hidden="false" customHeight="false" outlineLevel="0" collapsed="false">
      <c r="A53" s="41" t="n">
        <v>42</v>
      </c>
      <c r="B53" s="21" t="s">
        <v>325</v>
      </c>
      <c r="C53" s="11" t="s">
        <v>316</v>
      </c>
      <c r="D53" s="50" t="n">
        <f aca="false">D52*Assumptions!$D$31</f>
        <v>0.00610326964285714</v>
      </c>
      <c r="E53" s="50" t="n">
        <f aca="false">E52*Assumptions!$D$31</f>
        <v>0.0189973178571429</v>
      </c>
      <c r="F53" s="50" t="n">
        <f aca="false">F52*Assumptions!$D$31</f>
        <v>0.0393703928571429</v>
      </c>
      <c r="G53" s="50" t="n">
        <f aca="false">G52*Assumptions!$D$31</f>
        <v>0.0611273303571429</v>
      </c>
      <c r="H53" s="50" t="n">
        <f aca="false">H52*Assumptions!$D$31</f>
        <v>0.0842696089285714</v>
      </c>
      <c r="I53" s="50" t="n">
        <f aca="false">I52*Assumptions!$D$31</f>
        <v>0.101560633928571</v>
      </c>
      <c r="J53" s="50" t="n">
        <f aca="false">J52*Assumptions!$D$31</f>
        <v>0.119778176785714</v>
      </c>
      <c r="K53" s="50" t="n">
        <f aca="false">K52*Assumptions!$D$31</f>
        <v>0.131231228571429</v>
      </c>
      <c r="L53" s="51" t="n">
        <f aca="false">K53</f>
        <v>0.131231228571429</v>
      </c>
    </row>
    <row r="54" customFormat="false" ht="15" hidden="false" customHeight="false" outlineLevel="0" collapsed="false">
      <c r="A54" s="41" t="n">
        <v>43</v>
      </c>
      <c r="B54" s="21" t="s">
        <v>326</v>
      </c>
      <c r="C54" s="11" t="s">
        <v>316</v>
      </c>
      <c r="D54" s="50" t="n">
        <f aca="false">D48*Assumptions!$D$35</f>
        <v>0.00265071428571429</v>
      </c>
      <c r="E54" s="50" t="n">
        <f aca="false">E48*Assumptions!$D$35</f>
        <v>0.00824785714285714</v>
      </c>
      <c r="F54" s="50" t="n">
        <f aca="false">F48*Assumptions!$D$35</f>
        <v>0.0170871428571429</v>
      </c>
      <c r="G54" s="50" t="n">
        <f aca="false">G48*Assumptions!$D$35</f>
        <v>0.0265178571428572</v>
      </c>
      <c r="H54" s="50" t="n">
        <f aca="false">H48*Assumptions!$D$35</f>
        <v>0.03654</v>
      </c>
      <c r="I54" s="50" t="n">
        <f aca="false">I48*Assumptions!$D$35</f>
        <v>0.04401</v>
      </c>
      <c r="J54" s="50" t="n">
        <f aca="false">J48*Assumptions!$D$35</f>
        <v>0.0518742857142857</v>
      </c>
      <c r="K54" s="50" t="n">
        <f aca="false">K48*Assumptions!$D$35</f>
        <v>0.0567921428571429</v>
      </c>
      <c r="L54" s="51" t="n">
        <f aca="false">K54</f>
        <v>0.0567921428571429</v>
      </c>
    </row>
    <row r="55" customFormat="false" ht="15" hidden="false" customHeight="false" outlineLevel="0" collapsed="false">
      <c r="A55" s="41" t="n">
        <v>44</v>
      </c>
      <c r="B55" s="21" t="s">
        <v>327</v>
      </c>
      <c r="C55" s="11" t="s">
        <v>316</v>
      </c>
      <c r="D55" s="50" t="n">
        <f aca="false">D54*Assumptions!$D$36/4</f>
        <v>0.000994017857142857</v>
      </c>
      <c r="E55" s="50" t="n">
        <f aca="false">E54*Assumptions!$D$36/4</f>
        <v>0.00309294642857143</v>
      </c>
      <c r="F55" s="50" t="n">
        <f aca="false">F54*Assumptions!$D$36/4</f>
        <v>0.00640767857142857</v>
      </c>
      <c r="G55" s="50" t="n">
        <f aca="false">G54*Assumptions!$D$36/4</f>
        <v>0.00994419642857143</v>
      </c>
      <c r="H55" s="50" t="n">
        <f aca="false">H54*Assumptions!$D$36/4</f>
        <v>0.0137025</v>
      </c>
      <c r="I55" s="50" t="n">
        <f aca="false">I54*Assumptions!$D$36/4</f>
        <v>0.01650375</v>
      </c>
      <c r="J55" s="50" t="n">
        <f aca="false">J54*Assumptions!$D$36/4</f>
        <v>0.0194528571428571</v>
      </c>
      <c r="K55" s="50" t="n">
        <f aca="false">K54*Assumptions!$D$36/4</f>
        <v>0.0212970535714286</v>
      </c>
      <c r="L55" s="52" t="n">
        <f aca="false">SUM(D55:K55)</f>
        <v>0.091395</v>
      </c>
    </row>
    <row r="56" customFormat="false" ht="15" hidden="false" customHeight="false" outlineLevel="0" collapsed="false">
      <c r="A56" s="41" t="n">
        <v>45</v>
      </c>
      <c r="B56" s="21" t="s">
        <v>328</v>
      </c>
      <c r="C56" s="11" t="s">
        <v>275</v>
      </c>
      <c r="D56" s="53" t="n">
        <f aca="false">D55*Assumptions!$D$37*Assumptions!$D$15/100</f>
        <v>0.914496428571429</v>
      </c>
      <c r="E56" s="53" t="n">
        <f aca="false">E55*Assumptions!$D$37*Assumptions!$D$15/100</f>
        <v>2.84551071428571</v>
      </c>
      <c r="F56" s="53" t="n">
        <f aca="false">F55*Assumptions!$D$37*Assumptions!$D$15/100</f>
        <v>5.89506428571428</v>
      </c>
      <c r="G56" s="53" t="n">
        <f aca="false">G55*Assumptions!$D$37*Assumptions!$D$15/100</f>
        <v>9.14866071428572</v>
      </c>
      <c r="H56" s="53" t="n">
        <f aca="false">H55*Assumptions!$D$37*Assumptions!$D$15/100</f>
        <v>12.6063</v>
      </c>
      <c r="I56" s="53" t="n">
        <f aca="false">I55*Assumptions!$D$37*Assumptions!$D$15/100</f>
        <v>15.18345</v>
      </c>
      <c r="J56" s="53" t="n">
        <f aca="false">J55*Assumptions!$D$37*Assumptions!$D$15/100</f>
        <v>17.8966285714286</v>
      </c>
      <c r="K56" s="53" t="n">
        <f aca="false">K55*Assumptions!$D$37*Assumptions!$D$15/100</f>
        <v>19.5932892857143</v>
      </c>
      <c r="L56" s="54" t="n">
        <f aca="false">SUM(D56:K56)</f>
        <v>84.0834</v>
      </c>
    </row>
    <row r="57" customFormat="false" ht="15" hidden="false" customHeight="false" outlineLevel="0" collapsed="false">
      <c r="A57" s="41" t="n">
        <v>46</v>
      </c>
      <c r="B57" s="21" t="s">
        <v>329</v>
      </c>
      <c r="C57" s="11" t="s">
        <v>275</v>
      </c>
      <c r="D57" s="34" t="n">
        <f aca="false">D50*Assumptions!$D$7*3/100</f>
        <v>36.5798571428571</v>
      </c>
      <c r="E57" s="34" t="n">
        <f aca="false">E50*Assumptions!$D$7*3/100</f>
        <v>113.820428571429</v>
      </c>
      <c r="F57" s="34" t="n">
        <f aca="false">F50*Assumptions!$D$7*3/100</f>
        <v>235.802571428571</v>
      </c>
      <c r="G57" s="34" t="n">
        <f aca="false">G50*Assumptions!$D$7*3/100</f>
        <v>365.946428571429</v>
      </c>
      <c r="H57" s="34" t="n">
        <f aca="false">H50*Assumptions!$D$7*3/100</f>
        <v>504.252</v>
      </c>
      <c r="I57" s="34" t="n">
        <f aca="false">I50*Assumptions!$D$7*3/100</f>
        <v>607.338</v>
      </c>
      <c r="J57" s="34" t="n">
        <f aca="false">J50*Assumptions!$D$7*3/100</f>
        <v>715.865142857143</v>
      </c>
      <c r="K57" s="34" t="n">
        <f aca="false">K50*Assumptions!$D$7*3/100</f>
        <v>783.731571428572</v>
      </c>
      <c r="L57" s="55" t="n">
        <f aca="false">SUM(D57:K57)</f>
        <v>3363.336</v>
      </c>
    </row>
    <row r="58" customFormat="false" ht="15" hidden="false" customHeight="false" outlineLevel="0" collapsed="false">
      <c r="A58" s="41" t="n">
        <v>47</v>
      </c>
      <c r="B58" s="21" t="s">
        <v>330</v>
      </c>
      <c r="C58" s="11" t="s">
        <v>275</v>
      </c>
      <c r="D58" s="53" t="n">
        <f aca="false">D57*Assumptions!$D$42</f>
        <v>0.365798571428571</v>
      </c>
      <c r="E58" s="53" t="n">
        <f aca="false">E57*Assumptions!$D$42</f>
        <v>1.13820428571429</v>
      </c>
      <c r="F58" s="53" t="n">
        <f aca="false">F57*Assumptions!$D$42</f>
        <v>2.35802571428571</v>
      </c>
      <c r="G58" s="53" t="n">
        <f aca="false">G57*Assumptions!$D$42</f>
        <v>3.65946428571429</v>
      </c>
      <c r="H58" s="53" t="n">
        <f aca="false">H57*Assumptions!$D$42</f>
        <v>5.04252</v>
      </c>
      <c r="I58" s="53" t="n">
        <f aca="false">I57*Assumptions!$D$42</f>
        <v>6.07338</v>
      </c>
      <c r="J58" s="53" t="n">
        <f aca="false">J57*Assumptions!$D$42</f>
        <v>7.15865142857143</v>
      </c>
      <c r="K58" s="53" t="n">
        <f aca="false">K57*Assumptions!$D$42</f>
        <v>7.83731571428572</v>
      </c>
      <c r="L58" s="54" t="n">
        <f aca="false">SUM(D58:K58)</f>
        <v>33.63336</v>
      </c>
    </row>
    <row r="59" customFormat="false" ht="15" hidden="false" customHeight="false" outlineLevel="0" collapsed="false">
      <c r="A59" s="41" t="n">
        <v>48</v>
      </c>
      <c r="B59" s="21" t="s">
        <v>353</v>
      </c>
      <c r="C59" s="11" t="s">
        <v>275</v>
      </c>
      <c r="D59" s="53" t="n">
        <f aca="false">D57*Assumptions!$D$43</f>
        <v>0.365798571428571</v>
      </c>
      <c r="E59" s="53" t="n">
        <f aca="false">E57*Assumptions!$D$43</f>
        <v>1.13820428571429</v>
      </c>
      <c r="F59" s="53" t="n">
        <f aca="false">F57*Assumptions!$D$43</f>
        <v>2.35802571428571</v>
      </c>
      <c r="G59" s="53" t="n">
        <f aca="false">G57*Assumptions!$D$43</f>
        <v>3.65946428571429</v>
      </c>
      <c r="H59" s="53" t="n">
        <f aca="false">H57*Assumptions!$D$43</f>
        <v>5.04252</v>
      </c>
      <c r="I59" s="53" t="n">
        <f aca="false">I57*Assumptions!$D$43</f>
        <v>6.07338</v>
      </c>
      <c r="J59" s="53" t="n">
        <f aca="false">J57*Assumptions!$D$43</f>
        <v>7.15865142857143</v>
      </c>
      <c r="K59" s="53" t="n">
        <f aca="false">K57*Assumptions!$D$43</f>
        <v>7.83731571428572</v>
      </c>
      <c r="L59" s="54" t="n">
        <f aca="false">SUM(D59:K59)</f>
        <v>33.63336</v>
      </c>
    </row>
    <row r="60" customFormat="false" ht="15" hidden="false" customHeight="false" outlineLevel="0" collapsed="false">
      <c r="A60" s="41" t="n">
        <v>49</v>
      </c>
      <c r="B60" s="21" t="s">
        <v>331</v>
      </c>
      <c r="C60" s="11" t="s">
        <v>275</v>
      </c>
      <c r="D60" s="53" t="n">
        <f aca="false">D53*Assumptions!$D$7*3/100*Assumptions!$D$44</f>
        <v>0.0549294267857143</v>
      </c>
      <c r="E60" s="53" t="n">
        <f aca="false">E53*Assumptions!$D$7*3/100*Assumptions!$D$44</f>
        <v>0.170975860714286</v>
      </c>
      <c r="F60" s="53" t="n">
        <f aca="false">F53*Assumptions!$D$7*3/100*Assumptions!$D$44</f>
        <v>0.354333535714286</v>
      </c>
      <c r="G60" s="53" t="n">
        <f aca="false">G53*Assumptions!$D$7*3/100*Assumptions!$D$44</f>
        <v>0.550145973214286</v>
      </c>
      <c r="H60" s="53" t="n">
        <f aca="false">H53*Assumptions!$D$7*3/100*Assumptions!$D$44</f>
        <v>0.758426480357143</v>
      </c>
      <c r="I60" s="53" t="n">
        <f aca="false">I53*Assumptions!$D$7*3/100*Assumptions!$D$44</f>
        <v>0.914045705357143</v>
      </c>
      <c r="J60" s="53" t="n">
        <f aca="false">J53*Assumptions!$D$7*3/100*Assumptions!$D$44</f>
        <v>1.07800359107143</v>
      </c>
      <c r="K60" s="53" t="n">
        <f aca="false">K53*Assumptions!$D$7*3/100*Assumptions!$D$44</f>
        <v>1.18108105714286</v>
      </c>
      <c r="L60" s="54" t="n">
        <f aca="false">SUM(D60:K60)</f>
        <v>5.06194163035714</v>
      </c>
    </row>
    <row r="61" customFormat="false" ht="15" hidden="false" customHeight="false" outlineLevel="0" collapsed="false">
      <c r="A61" s="41" t="n">
        <v>50</v>
      </c>
      <c r="B61" s="21" t="s">
        <v>332</v>
      </c>
      <c r="C61" s="11" t="s">
        <v>316</v>
      </c>
      <c r="D61" s="50" t="n">
        <f aca="false">N(C61)+D52*Assumptions!$D$45/4</f>
        <v>5.08605803571429E-005</v>
      </c>
      <c r="E61" s="50" t="n">
        <f aca="false">N(D61)+E52*Assumptions!$D$45/4</f>
        <v>0.0002091715625</v>
      </c>
      <c r="F61" s="50" t="n">
        <f aca="false">N(E61)+F52*Assumptions!$D$45/4</f>
        <v>0.000537258169642857</v>
      </c>
      <c r="G61" s="50" t="n">
        <f aca="false">N(F61)+G52*Assumptions!$D$45/4</f>
        <v>0.00104665258928571</v>
      </c>
      <c r="H61" s="50" t="n">
        <f aca="false">N(G61)+H52*Assumptions!$D$45/4</f>
        <v>0.00174889933035714</v>
      </c>
      <c r="I61" s="50" t="n">
        <f aca="false">N(H61)+I52*Assumptions!$D$45/4</f>
        <v>0.00259523794642857</v>
      </c>
      <c r="J61" s="50" t="n">
        <f aca="false">N(I61)+J52*Assumptions!$D$45/4</f>
        <v>0.00359338941964286</v>
      </c>
      <c r="K61" s="50" t="n">
        <f aca="false">N(J61)+K52*Assumptions!$D$45/4</f>
        <v>0.00468698299107143</v>
      </c>
      <c r="L61" s="51" t="n">
        <f aca="false">K61</f>
        <v>0.00468698299107143</v>
      </c>
    </row>
    <row r="62" customFormat="false" ht="15" hidden="false" customHeight="false" outlineLevel="0" collapsed="false">
      <c r="A62" s="41" t="n">
        <v>51</v>
      </c>
      <c r="B62" s="21" t="s">
        <v>333</v>
      </c>
      <c r="C62" s="11" t="s">
        <v>275</v>
      </c>
      <c r="D62" s="53" t="n">
        <f aca="false">D61*Assumptions!$D$7*3/100</f>
        <v>0.0915490446428572</v>
      </c>
      <c r="E62" s="53" t="n">
        <f aca="false">E61*Assumptions!$D$7*3/100</f>
        <v>0.3765088125</v>
      </c>
      <c r="F62" s="53" t="n">
        <f aca="false">F61*Assumptions!$D$7*3/100</f>
        <v>0.967064705357143</v>
      </c>
      <c r="G62" s="53" t="n">
        <f aca="false">G61*Assumptions!$D$7*3/100</f>
        <v>1.88397466071429</v>
      </c>
      <c r="H62" s="53" t="n">
        <f aca="false">H61*Assumptions!$D$7*3/100</f>
        <v>3.14801879464286</v>
      </c>
      <c r="I62" s="53" t="n">
        <f aca="false">I61*Assumptions!$D$7*3/100</f>
        <v>4.67142830357143</v>
      </c>
      <c r="J62" s="53" t="n">
        <f aca="false">J61*Assumptions!$D$7*3/100</f>
        <v>6.46810095535714</v>
      </c>
      <c r="K62" s="53" t="n">
        <f aca="false">K61*Assumptions!$D$7*3/100</f>
        <v>8.43656938392857</v>
      </c>
      <c r="L62" s="54" t="n">
        <f aca="false">SUM(D62:K62)</f>
        <v>26.0432146607143</v>
      </c>
    </row>
    <row r="63" customFormat="false" ht="15" hidden="false" customHeight="false" outlineLevel="0" collapsed="false">
      <c r="A63" s="41" t="n">
        <v>52</v>
      </c>
      <c r="B63" s="21" t="s">
        <v>334</v>
      </c>
      <c r="C63" s="11" t="s">
        <v>275</v>
      </c>
      <c r="D63" s="53" t="n">
        <f aca="false">D51*Assumptions!$D$7*3/100</f>
        <v>0.0397607142857143</v>
      </c>
      <c r="E63" s="53" t="n">
        <f aca="false">E51*Assumptions!$D$7*3/100</f>
        <v>0.163478571428571</v>
      </c>
      <c r="F63" s="53" t="n">
        <f aca="false">F51*Assumptions!$D$7*3/100</f>
        <v>0.419785714285714</v>
      </c>
      <c r="G63" s="53" t="n">
        <f aca="false">G51*Assumptions!$D$7*3/100</f>
        <v>0.817553571428572</v>
      </c>
      <c r="H63" s="53" t="n">
        <f aca="false">H51*Assumptions!$D$7*3/100</f>
        <v>1.36565357142857</v>
      </c>
      <c r="I63" s="53" t="n">
        <f aca="false">I51*Assumptions!$D$7*3/100</f>
        <v>2.02580357142857</v>
      </c>
      <c r="J63" s="53" t="n">
        <f aca="false">J51*Assumptions!$D$7*3/100</f>
        <v>2.80391785714286</v>
      </c>
      <c r="K63" s="53" t="n">
        <f aca="false">K51*Assumptions!$D$7*3/100</f>
        <v>3.6558</v>
      </c>
      <c r="L63" s="54" t="n">
        <f aca="false">SUM(D63:K63)</f>
        <v>11.2917535714286</v>
      </c>
    </row>
    <row r="64" customFormat="false" ht="15" hidden="false" customHeight="false" outlineLevel="0" collapsed="false">
      <c r="A64" s="41" t="n">
        <v>53</v>
      </c>
      <c r="B64" s="21" t="s">
        <v>335</v>
      </c>
      <c r="C64" s="11" t="s">
        <v>275</v>
      </c>
      <c r="D64" s="53" t="n">
        <f aca="false">D58+D60+D62+D63+D59</f>
        <v>0.917836328571429</v>
      </c>
      <c r="E64" s="53" t="n">
        <f aca="false">E58+E60+E62+E63+E59</f>
        <v>2.98737181607143</v>
      </c>
      <c r="F64" s="53" t="n">
        <f aca="false">F58+F60+F62+F63+F59</f>
        <v>6.45723538392857</v>
      </c>
      <c r="G64" s="53" t="n">
        <f aca="false">G58+G60+G62+G63+G59</f>
        <v>10.5706027767857</v>
      </c>
      <c r="H64" s="53" t="n">
        <f aca="false">H58+H60+H62+H63+H59</f>
        <v>15.3571388464286</v>
      </c>
      <c r="I64" s="53" t="n">
        <f aca="false">I58+I60+I62+I63+I59</f>
        <v>19.7580375803571</v>
      </c>
      <c r="J64" s="53" t="n">
        <f aca="false">J58+J60+J62+J63+J59</f>
        <v>24.6673252607143</v>
      </c>
      <c r="K64" s="53" t="n">
        <f aca="false">K58+K60+K62+K63+K59</f>
        <v>28.9480818696429</v>
      </c>
      <c r="L64" s="54" t="n">
        <f aca="false">SUM(D64:K64)</f>
        <v>109.6636298625</v>
      </c>
    </row>
    <row r="65" customFormat="false" ht="15" hidden="false" customHeight="false" outlineLevel="0" collapsed="false">
      <c r="A65" s="41" t="n">
        <v>54</v>
      </c>
      <c r="B65" s="21" t="s">
        <v>336</v>
      </c>
      <c r="C65" s="11" t="s">
        <v>275</v>
      </c>
      <c r="D65" s="24" t="n">
        <f aca="false">D48*Assumptions!$D$25*3/100</f>
        <v>0.0394956428571429</v>
      </c>
      <c r="E65" s="24" t="n">
        <f aca="false">E48*Assumptions!$D$25*3/100</f>
        <v>0.122893071428571</v>
      </c>
      <c r="F65" s="24" t="n">
        <f aca="false">F48*Assumptions!$D$25*3/100</f>
        <v>0.254598428571429</v>
      </c>
      <c r="G65" s="24" t="n">
        <f aca="false">G48*Assumptions!$D$25*3/100</f>
        <v>0.395116071428572</v>
      </c>
      <c r="H65" s="24" t="n">
        <f aca="false">H48*Assumptions!$D$25*3/100</f>
        <v>0.544446</v>
      </c>
      <c r="I65" s="24" t="n">
        <f aca="false">I48*Assumptions!$D$25*3/100</f>
        <v>0.655749</v>
      </c>
      <c r="J65" s="24" t="n">
        <f aca="false">J48*Assumptions!$D$25*3/100</f>
        <v>0.772926857142857</v>
      </c>
      <c r="K65" s="24" t="n">
        <f aca="false">K48*Assumptions!$D$25*3/100</f>
        <v>0.846202928571429</v>
      </c>
      <c r="L65" s="56" t="n">
        <f aca="false">SUM(D65:K65)</f>
        <v>3.631428</v>
      </c>
    </row>
    <row r="66" customFormat="false" ht="15" hidden="false" customHeight="false" outlineLevel="0" collapsed="false">
      <c r="A66" s="41" t="n">
        <v>55</v>
      </c>
      <c r="B66" s="21" t="s">
        <v>337</v>
      </c>
      <c r="C66" s="11" t="s">
        <v>275</v>
      </c>
      <c r="D66" s="24" t="n">
        <f aca="false">D53*Assumptions!$D$29*3/100</f>
        <v>0.0144647490535714</v>
      </c>
      <c r="E66" s="24" t="n">
        <f aca="false">E53*Assumptions!$D$29*3/100</f>
        <v>0.0450236433214286</v>
      </c>
      <c r="F66" s="24" t="n">
        <f aca="false">F53*Assumptions!$D$29*3/100</f>
        <v>0.0933078310714286</v>
      </c>
      <c r="G66" s="24" t="n">
        <f aca="false">G53*Assumptions!$D$29*3/100</f>
        <v>0.144871772946429</v>
      </c>
      <c r="H66" s="24" t="n">
        <f aca="false">H53*Assumptions!$D$29*3/100</f>
        <v>0.199718973160714</v>
      </c>
      <c r="I66" s="24" t="n">
        <f aca="false">I53*Assumptions!$D$29*3/100</f>
        <v>0.240698702410714</v>
      </c>
      <c r="J66" s="24" t="n">
        <f aca="false">J53*Assumptions!$D$29*3/100</f>
        <v>0.283874278982143</v>
      </c>
      <c r="K66" s="24" t="n">
        <f aca="false">K53*Assumptions!$D$29*3/100</f>
        <v>0.311018011714286</v>
      </c>
      <c r="L66" s="56" t="n">
        <f aca="false">SUM(D66:K66)</f>
        <v>1.33297796266071</v>
      </c>
    </row>
    <row r="67" customFormat="false" ht="15" hidden="false" customHeight="false" outlineLevel="0" collapsed="false">
      <c r="A67" s="41" t="n">
        <v>56</v>
      </c>
      <c r="B67" s="21" t="s">
        <v>338</v>
      </c>
      <c r="C67" s="11" t="s">
        <v>275</v>
      </c>
      <c r="D67" s="24" t="n">
        <f aca="false">D48*Assumptions!$D$33*Assumptions!$D$32*3/100</f>
        <v>0.00209406428571429</v>
      </c>
      <c r="E67" s="24" t="n">
        <f aca="false">E48*Assumptions!$D$33*Assumptions!$D$32*3/100</f>
        <v>0.00651580714285714</v>
      </c>
      <c r="F67" s="24" t="n">
        <f aca="false">F48*Assumptions!$D$33*Assumptions!$D$32*3/100</f>
        <v>0.0134988428571429</v>
      </c>
      <c r="G67" s="24" t="n">
        <f aca="false">G48*Assumptions!$D$33*Assumptions!$D$32*3/100</f>
        <v>0.0209491071428571</v>
      </c>
      <c r="H67" s="24" t="n">
        <f aca="false">H48*Assumptions!$D$33*Assumptions!$D$32*3/100</f>
        <v>0.0288666</v>
      </c>
      <c r="I67" s="24" t="n">
        <f aca="false">I48*Assumptions!$D$33*Assumptions!$D$32*3/100</f>
        <v>0.0347679</v>
      </c>
      <c r="J67" s="24" t="n">
        <f aca="false">J48*Assumptions!$D$33*Assumptions!$D$32*3/100</f>
        <v>0.0409806857142857</v>
      </c>
      <c r="K67" s="24" t="n">
        <f aca="false">K48*Assumptions!$D$33*Assumptions!$D$32*3/100</f>
        <v>0.0448657928571429</v>
      </c>
      <c r="L67" s="56" t="n">
        <f aca="false">SUM(D67:K67)</f>
        <v>0.1925388</v>
      </c>
    </row>
    <row r="68" customFormat="false" ht="15" hidden="false" customHeight="false" outlineLevel="0" collapsed="false">
      <c r="A68" s="41" t="n">
        <v>57</v>
      </c>
      <c r="B68" s="21" t="s">
        <v>339</v>
      </c>
      <c r="C68" s="11" t="s">
        <v>275</v>
      </c>
      <c r="D68" s="24" t="n">
        <f aca="false">D56*Assumptions!$D$38</f>
        <v>0.0137174464285714</v>
      </c>
      <c r="E68" s="24" t="n">
        <f aca="false">E56*Assumptions!$D$38</f>
        <v>0.0426826607142857</v>
      </c>
      <c r="F68" s="24" t="n">
        <f aca="false">F56*Assumptions!$D$38</f>
        <v>0.0884259642857143</v>
      </c>
      <c r="G68" s="24" t="n">
        <f aca="false">G56*Assumptions!$D$38</f>
        <v>0.137229910714286</v>
      </c>
      <c r="H68" s="24" t="n">
        <f aca="false">H56*Assumptions!$D$38</f>
        <v>0.1890945</v>
      </c>
      <c r="I68" s="24" t="n">
        <f aca="false">I56*Assumptions!$D$38</f>
        <v>0.22775175</v>
      </c>
      <c r="J68" s="24" t="n">
        <f aca="false">J56*Assumptions!$D$38</f>
        <v>0.268449428571429</v>
      </c>
      <c r="K68" s="24" t="n">
        <f aca="false">K56*Assumptions!$D$38</f>
        <v>0.293899339285714</v>
      </c>
      <c r="L68" s="56" t="n">
        <f aca="false">SUM(D68:K68)</f>
        <v>1.261251</v>
      </c>
    </row>
    <row r="69" customFormat="false" ht="15" hidden="false" customHeight="false" outlineLevel="0" collapsed="false">
      <c r="A69" s="41" t="n">
        <v>58</v>
      </c>
      <c r="B69" s="21" t="s">
        <v>340</v>
      </c>
      <c r="C69" s="11" t="s">
        <v>275</v>
      </c>
      <c r="D69" s="24" t="n">
        <f aca="false">D64*Assumptions!$D$6</f>
        <v>0.000367134531428571</v>
      </c>
      <c r="E69" s="24" t="n">
        <f aca="false">E64*Assumptions!$D$6</f>
        <v>0.00119494872642857</v>
      </c>
      <c r="F69" s="24" t="n">
        <f aca="false">F64*Assumptions!$D$6</f>
        <v>0.00258289415357143</v>
      </c>
      <c r="G69" s="24" t="n">
        <f aca="false">G64*Assumptions!$D$6</f>
        <v>0.00422824111071429</v>
      </c>
      <c r="H69" s="24" t="n">
        <f aca="false">H64*Assumptions!$D$6</f>
        <v>0.00614285553857143</v>
      </c>
      <c r="I69" s="24" t="n">
        <f aca="false">I64*Assumptions!$D$6</f>
        <v>0.00790321503214286</v>
      </c>
      <c r="J69" s="24" t="n">
        <f aca="false">J64*Assumptions!$D$6</f>
        <v>0.00986693010428572</v>
      </c>
      <c r="K69" s="24" t="n">
        <f aca="false">K64*Assumptions!$D$6</f>
        <v>0.0115792327478571</v>
      </c>
      <c r="L69" s="56" t="n">
        <f aca="false">SUM(D69:K69)</f>
        <v>0.043865451945</v>
      </c>
    </row>
    <row r="70" customFormat="false" ht="15" hidden="false" customHeight="false" outlineLevel="0" collapsed="false">
      <c r="A70" s="41" t="n">
        <v>59</v>
      </c>
      <c r="B70" s="21" t="s">
        <v>341</v>
      </c>
      <c r="C70" s="11" t="s">
        <v>275</v>
      </c>
      <c r="D70" s="24" t="n">
        <f aca="false">(D61+D51)*Assumptions!$D$9*3/100</f>
        <v>0.000175079678571429</v>
      </c>
      <c r="E70" s="24" t="n">
        <f aca="false">(E61+E51)*Assumptions!$D$9*3/100</f>
        <v>0.000719983178571429</v>
      </c>
      <c r="F70" s="24" t="n">
        <f aca="false">(F61+F51)*Assumptions!$D$9*3/100</f>
        <v>0.00184913389285714</v>
      </c>
      <c r="G70" s="24" t="n">
        <f aca="false">(G61+G51)*Assumptions!$D$9*3/100</f>
        <v>0.00360203764285714</v>
      </c>
      <c r="H70" s="24" t="n">
        <f aca="false">(H61+H51)*Assumptions!$D$9*3/100</f>
        <v>0.00601822982142857</v>
      </c>
      <c r="I70" s="24" t="n">
        <f aca="false">(I61+I51)*Assumptions!$D$9*3/100</f>
        <v>0.0089296425</v>
      </c>
      <c r="J70" s="24" t="n">
        <f aca="false">(J61+J51)*Assumptions!$D$9*3/100</f>
        <v>0.01236269175</v>
      </c>
      <c r="K70" s="24" t="n">
        <f aca="false">(K61+K51)*Assumptions!$D$9*3/100</f>
        <v>0.0161231591785714</v>
      </c>
      <c r="L70" s="56" t="n">
        <f aca="false">SUM(D70:K70)</f>
        <v>0.0497799576428571</v>
      </c>
    </row>
    <row r="71" customFormat="false" ht="15" hidden="false" customHeight="false" outlineLevel="0" collapsed="false">
      <c r="A71" s="41" t="n">
        <v>60</v>
      </c>
      <c r="B71" s="21" t="s">
        <v>342</v>
      </c>
      <c r="C71" s="11" t="s">
        <v>275</v>
      </c>
      <c r="D71" s="24" t="n">
        <f aca="false">SUM(D65:D70)</f>
        <v>0.070314116835</v>
      </c>
      <c r="E71" s="24" t="n">
        <f aca="false">SUM(E65:E70)</f>
        <v>0.219030114512143</v>
      </c>
      <c r="F71" s="24" t="n">
        <f aca="false">SUM(F65:F70)</f>
        <v>0.454263094832143</v>
      </c>
      <c r="G71" s="24" t="n">
        <f aca="false">SUM(G65:G70)</f>
        <v>0.705997140985714</v>
      </c>
      <c r="H71" s="24" t="n">
        <f aca="false">SUM(H65:H70)</f>
        <v>0.974287158520714</v>
      </c>
      <c r="I71" s="24" t="n">
        <f aca="false">SUM(I65:I70)</f>
        <v>1.17580020994286</v>
      </c>
      <c r="J71" s="24" t="n">
        <f aca="false">SUM(J65:J70)</f>
        <v>1.388460872265</v>
      </c>
      <c r="K71" s="24" t="n">
        <f aca="false">SUM(K65:K70)</f>
        <v>1.523688464355</v>
      </c>
      <c r="L71" s="56" t="n">
        <f aca="false">SUM(D71:K71)</f>
        <v>6.51184117224857</v>
      </c>
    </row>
    <row r="72" customFormat="false" ht="15" hidden="false" customHeight="false" outlineLevel="0" collapsed="false">
      <c r="A72" s="41" t="n">
        <v>61</v>
      </c>
      <c r="B72" s="21" t="s">
        <v>343</v>
      </c>
      <c r="C72" s="11" t="s">
        <v>275</v>
      </c>
      <c r="D72" s="24" t="n">
        <f aca="false">D52*Assumptions!$D$47*3/100</f>
        <v>0.0244130785714286</v>
      </c>
      <c r="E72" s="24" t="n">
        <f aca="false">E52*Assumptions!$D$47*3/100</f>
        <v>0.0759892714285714</v>
      </c>
      <c r="F72" s="24" t="n">
        <f aca="false">F52*Assumptions!$D$47*3/100</f>
        <v>0.157481571428571</v>
      </c>
      <c r="G72" s="24" t="n">
        <f aca="false">G52*Assumptions!$D$47*3/100</f>
        <v>0.244509321428571</v>
      </c>
      <c r="H72" s="24" t="n">
        <f aca="false">H52*Assumptions!$D$47*3/100</f>
        <v>0.337078435714286</v>
      </c>
      <c r="I72" s="24" t="n">
        <f aca="false">I52*Assumptions!$D$47*3/100</f>
        <v>0.406242535714286</v>
      </c>
      <c r="J72" s="24" t="n">
        <f aca="false">J52*Assumptions!$D$47*3/100</f>
        <v>0.479112707142857</v>
      </c>
      <c r="K72" s="24" t="n">
        <f aca="false">K52*Assumptions!$D$47*3/100</f>
        <v>0.524924914285714</v>
      </c>
      <c r="L72" s="56" t="n">
        <f aca="false">SUM(D72:K72)</f>
        <v>2.24975183571429</v>
      </c>
    </row>
    <row r="73" customFormat="false" ht="15" hidden="false" customHeight="false" outlineLevel="0" collapsed="false">
      <c r="A73" s="41" t="n">
        <v>62</v>
      </c>
      <c r="B73" s="21" t="s">
        <v>344</v>
      </c>
      <c r="C73" s="11" t="s">
        <v>275</v>
      </c>
      <c r="D73" s="24" t="n">
        <f aca="false">D53*Assumptions!$D$48*90*Assumptions!$D$49/100</f>
        <v>0.0109858853571429</v>
      </c>
      <c r="E73" s="24" t="n">
        <f aca="false">E53*Assumptions!$D$48*90*Assumptions!$D$49/100</f>
        <v>0.0341951721428571</v>
      </c>
      <c r="F73" s="24" t="n">
        <f aca="false">F53*Assumptions!$D$48*90*Assumptions!$D$49/100</f>
        <v>0.0708667071428571</v>
      </c>
      <c r="G73" s="24" t="n">
        <f aca="false">G53*Assumptions!$D$48*90*Assumptions!$D$49/100</f>
        <v>0.110029194642857</v>
      </c>
      <c r="H73" s="24" t="n">
        <f aca="false">H53*Assumptions!$D$48*90*Assumptions!$D$49/100</f>
        <v>0.151685296071429</v>
      </c>
      <c r="I73" s="24" t="n">
        <f aca="false">I53*Assumptions!$D$48*90*Assumptions!$D$49/100</f>
        <v>0.182809141071429</v>
      </c>
      <c r="J73" s="24" t="n">
        <f aca="false">J53*Assumptions!$D$48*90*Assumptions!$D$49/100</f>
        <v>0.215600718214286</v>
      </c>
      <c r="K73" s="24" t="n">
        <f aca="false">K53*Assumptions!$D$48*90*Assumptions!$D$49/100</f>
        <v>0.236216211428571</v>
      </c>
      <c r="L73" s="56" t="n">
        <f aca="false">SUM(D73:K73)</f>
        <v>1.01238832607143</v>
      </c>
    </row>
    <row r="74" customFormat="false" ht="15" hidden="false" customHeight="false" outlineLevel="0" collapsed="false">
      <c r="A74" s="41" t="n">
        <v>63</v>
      </c>
      <c r="B74" s="21" t="s">
        <v>345</v>
      </c>
      <c r="C74" s="11" t="s">
        <v>275</v>
      </c>
      <c r="D74" s="24" t="n">
        <f aca="false">D48*Assumptions!$D$50*3/100</f>
        <v>0.00662678571428571</v>
      </c>
      <c r="E74" s="24" t="n">
        <f aca="false">E48*Assumptions!$D$50*3/100</f>
        <v>0.0206196428571429</v>
      </c>
      <c r="F74" s="24" t="n">
        <f aca="false">F48*Assumptions!$D$50*3/100</f>
        <v>0.0427178571428571</v>
      </c>
      <c r="G74" s="24" t="n">
        <f aca="false">G48*Assumptions!$D$50*3/100</f>
        <v>0.0662946428571429</v>
      </c>
      <c r="H74" s="24" t="n">
        <f aca="false">H48*Assumptions!$D$50*3/100</f>
        <v>0.09135</v>
      </c>
      <c r="I74" s="24" t="n">
        <f aca="false">I48*Assumptions!$D$50*3/100</f>
        <v>0.110025</v>
      </c>
      <c r="J74" s="24" t="n">
        <f aca="false">J48*Assumptions!$D$50*3/100</f>
        <v>0.129685714285714</v>
      </c>
      <c r="K74" s="24" t="n">
        <f aca="false">K48*Assumptions!$D$50*3/100</f>
        <v>0.141980357142857</v>
      </c>
      <c r="L74" s="56" t="n">
        <f aca="false">SUM(D74:K74)</f>
        <v>0.6093</v>
      </c>
    </row>
    <row r="75" customFormat="false" ht="15" hidden="false" customHeight="false" outlineLevel="0" collapsed="false">
      <c r="A75" s="41" t="n">
        <v>64</v>
      </c>
      <c r="B75" s="21" t="s">
        <v>346</v>
      </c>
      <c r="C75" s="11" t="s">
        <v>275</v>
      </c>
      <c r="D75" s="24" t="n">
        <f aca="false">D52*Assumptions!$D$51*3/100</f>
        <v>0.0122065392857143</v>
      </c>
      <c r="E75" s="24" t="n">
        <f aca="false">E52*Assumptions!$D$51*3/100</f>
        <v>0.0379946357142857</v>
      </c>
      <c r="F75" s="24" t="n">
        <f aca="false">F52*Assumptions!$D$51*3/100</f>
        <v>0.0787407857142857</v>
      </c>
      <c r="G75" s="24" t="n">
        <f aca="false">G52*Assumptions!$D$51*3/100</f>
        <v>0.122254660714286</v>
      </c>
      <c r="H75" s="24" t="n">
        <f aca="false">H52*Assumptions!$D$51*3/100</f>
        <v>0.168539217857143</v>
      </c>
      <c r="I75" s="24" t="n">
        <f aca="false">I52*Assumptions!$D$51*3/100</f>
        <v>0.203121267857143</v>
      </c>
      <c r="J75" s="24" t="n">
        <f aca="false">J52*Assumptions!$D$51*3/100</f>
        <v>0.239556353571429</v>
      </c>
      <c r="K75" s="24" t="n">
        <f aca="false">K52*Assumptions!$D$51*3/100</f>
        <v>0.262462457142857</v>
      </c>
      <c r="L75" s="56" t="n">
        <f aca="false">SUM(D75:K75)</f>
        <v>1.12487591785714</v>
      </c>
    </row>
    <row r="76" customFormat="false" ht="15" hidden="false" customHeight="false" outlineLevel="0" collapsed="false">
      <c r="A76" s="41" t="n">
        <v>65</v>
      </c>
      <c r="B76" s="21" t="s">
        <v>347</v>
      </c>
      <c r="C76" s="11" t="s">
        <v>275</v>
      </c>
      <c r="D76" s="24" t="n">
        <f aca="false">D49*(Assumptions!$D$52+Assumptions!$D$53*Assumptions!$D$15)/100</f>
        <v>0.0627335714285714</v>
      </c>
      <c r="E76" s="24" t="n">
        <f aca="false">E49*(Assumptions!$D$52+Assumptions!$D$53*Assumptions!$D$15)/100</f>
        <v>0.132465714285714</v>
      </c>
      <c r="F76" s="24" t="n">
        <f aca="false">F49*(Assumptions!$D$52+Assumptions!$D$53*Assumptions!$D$15)/100</f>
        <v>0.209196428571429</v>
      </c>
      <c r="G76" s="24" t="n">
        <f aca="false">G49*(Assumptions!$D$52+Assumptions!$D$53*Assumptions!$D$15)/100</f>
        <v>0.223193571428572</v>
      </c>
      <c r="H76" s="24" t="n">
        <f aca="false">H49*(Assumptions!$D$52+Assumptions!$D$53*Assumptions!$D$15)/100</f>
        <v>0.237190714285714</v>
      </c>
      <c r="I76" s="24" t="n">
        <f aca="false">I49*(Assumptions!$D$52+Assumptions!$D$53*Assumptions!$D$15)/100</f>
        <v>0.17679</v>
      </c>
      <c r="J76" s="24" t="n">
        <f aca="false">J49*(Assumptions!$D$52+Assumptions!$D$53*Assumptions!$D$15)/100</f>
        <v>0.186121428571429</v>
      </c>
      <c r="K76" s="24" t="n">
        <f aca="false">K49*(Assumptions!$D$52+Assumptions!$D$53*Assumptions!$D$15)/100</f>
        <v>0.116389285714286</v>
      </c>
      <c r="L76" s="56" t="n">
        <f aca="false">SUM(D76:K76)</f>
        <v>1.34408071428571</v>
      </c>
    </row>
    <row r="77" customFormat="false" ht="15" hidden="false" customHeight="false" outlineLevel="0" collapsed="false">
      <c r="A77" s="41" t="n">
        <v>66</v>
      </c>
      <c r="B77" s="21" t="s">
        <v>348</v>
      </c>
      <c r="C77" s="11" t="s">
        <v>275</v>
      </c>
      <c r="D77" s="24" t="n">
        <f aca="false">D56*Assumptions!$D$39</f>
        <v>0.00457248214285714</v>
      </c>
      <c r="E77" s="24" t="n">
        <f aca="false">E56*Assumptions!$D$39</f>
        <v>0.0142275535714286</v>
      </c>
      <c r="F77" s="24" t="n">
        <f aca="false">F56*Assumptions!$D$39</f>
        <v>0.0294753214285714</v>
      </c>
      <c r="G77" s="24" t="n">
        <f aca="false">G56*Assumptions!$D$39</f>
        <v>0.0457433035714286</v>
      </c>
      <c r="H77" s="24" t="n">
        <f aca="false">H56*Assumptions!$D$39</f>
        <v>0.0630315</v>
      </c>
      <c r="I77" s="24" t="n">
        <f aca="false">I56*Assumptions!$D$39</f>
        <v>0.07591725</v>
      </c>
      <c r="J77" s="24" t="n">
        <f aca="false">J56*Assumptions!$D$39</f>
        <v>0.0894831428571429</v>
      </c>
      <c r="K77" s="24" t="n">
        <f aca="false">K56*Assumptions!$D$39</f>
        <v>0.0979664464285714</v>
      </c>
      <c r="L77" s="56" t="n">
        <f aca="false">SUM(D77:K77)</f>
        <v>0.420417</v>
      </c>
    </row>
    <row r="78" customFormat="false" ht="15" hidden="false" customHeight="false" outlineLevel="0" collapsed="false">
      <c r="A78" s="41" t="n">
        <v>67</v>
      </c>
      <c r="B78" s="21" t="s">
        <v>349</v>
      </c>
      <c r="C78" s="11" t="s">
        <v>275</v>
      </c>
      <c r="D78" s="24" t="n">
        <f aca="false">D56*Assumptions!$D$40</f>
        <v>0.00685872321428572</v>
      </c>
      <c r="E78" s="24" t="n">
        <f aca="false">E56*Assumptions!$D$40</f>
        <v>0.0213413303571429</v>
      </c>
      <c r="F78" s="24" t="n">
        <f aca="false">F56*Assumptions!$D$40</f>
        <v>0.0442129821428571</v>
      </c>
      <c r="G78" s="24" t="n">
        <f aca="false">G56*Assumptions!$D$40</f>
        <v>0.0686149553571429</v>
      </c>
      <c r="H78" s="24" t="n">
        <f aca="false">H56*Assumptions!$D$40</f>
        <v>0.09454725</v>
      </c>
      <c r="I78" s="24" t="n">
        <f aca="false">I56*Assumptions!$D$40</f>
        <v>0.113875875</v>
      </c>
      <c r="J78" s="24" t="n">
        <f aca="false">J56*Assumptions!$D$40</f>
        <v>0.134224714285714</v>
      </c>
      <c r="K78" s="24" t="n">
        <f aca="false">K56*Assumptions!$D$40</f>
        <v>0.146949669642857</v>
      </c>
      <c r="L78" s="56" t="n">
        <f aca="false">SUM(D78:K78)</f>
        <v>0.6306255</v>
      </c>
    </row>
    <row r="79" customFormat="false" ht="15" hidden="false" customHeight="false" outlineLevel="0" collapsed="false">
      <c r="A79" s="41" t="n">
        <v>68</v>
      </c>
      <c r="B79" s="21" t="s">
        <v>350</v>
      </c>
      <c r="C79" s="11" t="s">
        <v>275</v>
      </c>
      <c r="D79" s="24" t="n">
        <f aca="false">SUM(D72:D78)</f>
        <v>0.128397065714286</v>
      </c>
      <c r="E79" s="24" t="n">
        <f aca="false">SUM(E72:E78)</f>
        <v>0.336833320357143</v>
      </c>
      <c r="F79" s="24" t="n">
        <f aca="false">SUM(F72:F78)</f>
        <v>0.632691653571428</v>
      </c>
      <c r="G79" s="24" t="n">
        <f aca="false">SUM(G72:G78)</f>
        <v>0.88063965</v>
      </c>
      <c r="H79" s="24" t="n">
        <f aca="false">SUM(H72:H78)</f>
        <v>1.14342241392857</v>
      </c>
      <c r="I79" s="24" t="n">
        <f aca="false">SUM(I72:I78)</f>
        <v>1.26878106964286</v>
      </c>
      <c r="J79" s="24" t="n">
        <f aca="false">SUM(J72:J78)</f>
        <v>1.47378477892857</v>
      </c>
      <c r="K79" s="24" t="n">
        <f aca="false">SUM(K72:K78)</f>
        <v>1.52688934178571</v>
      </c>
      <c r="L79" s="56" t="n">
        <f aca="false">SUM(D79:K79)</f>
        <v>7.39143929392857</v>
      </c>
    </row>
    <row r="80" customFormat="false" ht="15" hidden="false" customHeight="false" outlineLevel="0" collapsed="false">
      <c r="A80" s="41" t="n">
        <v>69</v>
      </c>
      <c r="B80" s="17" t="s">
        <v>351</v>
      </c>
      <c r="C80" s="11" t="s">
        <v>275</v>
      </c>
      <c r="D80" s="56" t="n">
        <f aca="false">D71-D79</f>
        <v>-0.0580829488792857</v>
      </c>
      <c r="E80" s="56" t="n">
        <f aca="false">E71-E79</f>
        <v>-0.117803205845</v>
      </c>
      <c r="F80" s="56" t="n">
        <f aca="false">F71-F79</f>
        <v>-0.178428558739286</v>
      </c>
      <c r="G80" s="56" t="n">
        <f aca="false">G71-G79</f>
        <v>-0.174642509014286</v>
      </c>
      <c r="H80" s="56" t="n">
        <f aca="false">H71-H79</f>
        <v>-0.169135255407857</v>
      </c>
      <c r="I80" s="56" t="n">
        <f aca="false">I71-I79</f>
        <v>-0.0929808596999997</v>
      </c>
      <c r="J80" s="56" t="n">
        <f aca="false">J71-J79</f>
        <v>-0.0853239066635718</v>
      </c>
      <c r="K80" s="56" t="n">
        <f aca="false">K71-K79</f>
        <v>-0.0032008774307144</v>
      </c>
      <c r="L80" s="56" t="n">
        <f aca="false">SUM(D80:K80)</f>
        <v>-0.87959812168</v>
      </c>
    </row>
    <row r="81" customFormat="false" ht="15" hidden="false" customHeight="false" outlineLevel="0" collapsed="false">
      <c r="A81" s="46"/>
      <c r="B81" s="47" t="s">
        <v>354</v>
      </c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customFormat="false" ht="15" hidden="false" customHeight="false" outlineLevel="0" collapsed="false">
      <c r="A82" s="41" t="n">
        <v>70</v>
      </c>
      <c r="B82" s="21" t="s">
        <v>319</v>
      </c>
      <c r="C82" s="11" t="s">
        <v>316</v>
      </c>
      <c r="D82" s="48" t="n">
        <f aca="false">D10*Assumptions!$D$13</f>
        <v>0.176714285714286</v>
      </c>
      <c r="E82" s="48" t="n">
        <f aca="false">E10*Assumptions!$D$13</f>
        <v>0.183285714285714</v>
      </c>
      <c r="F82" s="48" t="n">
        <f aca="false">F10*Assumptions!$D$13</f>
        <v>0.189857142857143</v>
      </c>
      <c r="G82" s="48" t="n">
        <f aca="false">G10*Assumptions!$D$13</f>
        <v>0.196428571428571</v>
      </c>
      <c r="H82" s="48" t="n">
        <f aca="false">H10*Assumptions!$D$13</f>
        <v>0.203</v>
      </c>
      <c r="I82" s="48" t="n">
        <f aca="false">I10*Assumptions!$D$13</f>
        <v>0.209571428571429</v>
      </c>
      <c r="J82" s="48" t="n">
        <f aca="false">J10*Assumptions!$D$13</f>
        <v>0.216142857142857</v>
      </c>
      <c r="K82" s="48" t="n">
        <f aca="false">K10*Assumptions!$D$13</f>
        <v>0.222714285714286</v>
      </c>
      <c r="L82" s="49" t="n">
        <f aca="false">K82</f>
        <v>0.222714285714286</v>
      </c>
    </row>
    <row r="83" customFormat="false" ht="15" hidden="false" customHeight="false" outlineLevel="0" collapsed="false">
      <c r="A83" s="41" t="n">
        <v>71</v>
      </c>
      <c r="B83" s="21" t="s">
        <v>320</v>
      </c>
      <c r="C83" s="11" t="s">
        <v>316</v>
      </c>
      <c r="D83" s="50" t="n">
        <f aca="false">D82*D11*Assumptions!$D$21</f>
        <v>0.000353428571428571</v>
      </c>
      <c r="E83" s="50" t="n">
        <f aca="false">E82*E11*Assumptions!$D$21</f>
        <v>0.00109971428571429</v>
      </c>
      <c r="F83" s="50" t="n">
        <f aca="false">F82*F11*Assumptions!$D$21</f>
        <v>0.00227828571428571</v>
      </c>
      <c r="G83" s="50" t="n">
        <f aca="false">G82*G11*Assumptions!$D$21</f>
        <v>0.00353571428571429</v>
      </c>
      <c r="H83" s="50" t="n">
        <f aca="false">H82*H11*Assumptions!$D$21</f>
        <v>0.004872</v>
      </c>
      <c r="I83" s="50" t="n">
        <f aca="false">I82*I11*Assumptions!$D$21</f>
        <v>0.005868</v>
      </c>
      <c r="J83" s="50" t="n">
        <f aca="false">J82*J11*Assumptions!$D$21</f>
        <v>0.00691657142857143</v>
      </c>
      <c r="K83" s="50" t="n">
        <f aca="false">K82*K11*Assumptions!$D$21</f>
        <v>0.00757228571428571</v>
      </c>
      <c r="L83" s="51" t="n">
        <f aca="false">K83</f>
        <v>0.00757228571428571</v>
      </c>
    </row>
    <row r="84" customFormat="false" ht="15" hidden="false" customHeight="false" outlineLevel="0" collapsed="false">
      <c r="A84" s="41" t="n">
        <v>72</v>
      </c>
      <c r="B84" s="21" t="s">
        <v>321</v>
      </c>
      <c r="C84" s="11" t="s">
        <v>316</v>
      </c>
      <c r="D84" s="50" t="n">
        <f aca="false">MAX(0,D83-N(C83))</f>
        <v>0.000353428571428571</v>
      </c>
      <c r="E84" s="50" t="n">
        <f aca="false">MAX(0,E83-N(D83))</f>
        <v>0.000746285714285715</v>
      </c>
      <c r="F84" s="50" t="n">
        <f aca="false">MAX(0,F83-N(E83))</f>
        <v>0.00117857142857143</v>
      </c>
      <c r="G84" s="50" t="n">
        <f aca="false">MAX(0,G83-N(F83))</f>
        <v>0.00125742857142857</v>
      </c>
      <c r="H84" s="50" t="n">
        <f aca="false">MAX(0,H83-N(G83))</f>
        <v>0.00133628571428571</v>
      </c>
      <c r="I84" s="50" t="n">
        <f aca="false">MAX(0,I83-N(H83))</f>
        <v>0.000995999999999999</v>
      </c>
      <c r="J84" s="50" t="n">
        <f aca="false">MAX(0,J83-N(I83))</f>
        <v>0.00104857142857143</v>
      </c>
      <c r="K84" s="50" t="n">
        <f aca="false">MAX(0,K83-N(J83))</f>
        <v>0.000655714285714286</v>
      </c>
      <c r="L84" s="52" t="n">
        <f aca="false">SUM(D84:K84)</f>
        <v>0.00757228571428571</v>
      </c>
    </row>
    <row r="85" customFormat="false" ht="15" hidden="false" customHeight="false" outlineLevel="0" collapsed="false">
      <c r="A85" s="41" t="n">
        <v>73</v>
      </c>
      <c r="B85" s="21" t="s">
        <v>322</v>
      </c>
      <c r="C85" s="11" t="s">
        <v>316</v>
      </c>
      <c r="D85" s="50" t="n">
        <f aca="false">D83*Assumptions!$D$16</f>
        <v>0.00282742857142857</v>
      </c>
      <c r="E85" s="50" t="n">
        <f aca="false">E83*Assumptions!$D$16</f>
        <v>0.00879771428571429</v>
      </c>
      <c r="F85" s="50" t="n">
        <f aca="false">F83*Assumptions!$D$16</f>
        <v>0.0182262857142857</v>
      </c>
      <c r="G85" s="50" t="n">
        <f aca="false">G83*Assumptions!$D$16</f>
        <v>0.0282857142857143</v>
      </c>
      <c r="H85" s="50" t="n">
        <f aca="false">H83*Assumptions!$D$16</f>
        <v>0.038976</v>
      </c>
      <c r="I85" s="50" t="n">
        <f aca="false">I83*Assumptions!$D$16</f>
        <v>0.046944</v>
      </c>
      <c r="J85" s="50" t="n">
        <f aca="false">J83*Assumptions!$D$16</f>
        <v>0.0553325714285714</v>
      </c>
      <c r="K85" s="50" t="n">
        <f aca="false">K83*Assumptions!$D$16</f>
        <v>0.0605782857142857</v>
      </c>
      <c r="L85" s="51" t="n">
        <f aca="false">K85</f>
        <v>0.0605782857142857</v>
      </c>
    </row>
    <row r="86" customFormat="false" ht="15" hidden="false" customHeight="false" outlineLevel="0" collapsed="false">
      <c r="A86" s="41" t="n">
        <v>74</v>
      </c>
      <c r="B86" s="21" t="s">
        <v>323</v>
      </c>
      <c r="C86" s="11" t="s">
        <v>316</v>
      </c>
      <c r="D86" s="50" t="n">
        <f aca="false">N(C86)+D83*Assumptions!$D$23/100/4</f>
        <v>8.83571428571429E-007</v>
      </c>
      <c r="E86" s="50" t="n">
        <f aca="false">N(D86)+E83*Assumptions!$D$23/100/4</f>
        <v>3.63285714285714E-006</v>
      </c>
      <c r="F86" s="50" t="n">
        <f aca="false">N(E86)+F83*Assumptions!$D$23/100/4</f>
        <v>9.32857142857143E-006</v>
      </c>
      <c r="G86" s="50" t="n">
        <f aca="false">N(F86)+G83*Assumptions!$D$23/100/4</f>
        <v>1.81678571428571E-005</v>
      </c>
      <c r="H86" s="50" t="n">
        <f aca="false">N(G86)+H83*Assumptions!$D$23/100/4</f>
        <v>3.03478571428571E-005</v>
      </c>
      <c r="I86" s="50" t="n">
        <f aca="false">N(H86)+I83*Assumptions!$D$23/100/4</f>
        <v>4.50178571428571E-005</v>
      </c>
      <c r="J86" s="50" t="n">
        <f aca="false">N(I86)+J83*Assumptions!$D$23/100/4</f>
        <v>6.23092857142857E-005</v>
      </c>
      <c r="K86" s="50" t="n">
        <f aca="false">N(J86)+K83*Assumptions!$D$23/100/4</f>
        <v>8.124E-005</v>
      </c>
      <c r="L86" s="51" t="n">
        <f aca="false">K86</f>
        <v>8.124E-005</v>
      </c>
    </row>
    <row r="87" customFormat="false" ht="15" hidden="false" customHeight="false" outlineLevel="0" collapsed="false">
      <c r="A87" s="41" t="n">
        <v>75</v>
      </c>
      <c r="B87" s="21" t="s">
        <v>324</v>
      </c>
      <c r="C87" s="11" t="s">
        <v>316</v>
      </c>
      <c r="D87" s="50" t="n">
        <f aca="false">D85+D86</f>
        <v>0.00282831214285714</v>
      </c>
      <c r="E87" s="50" t="n">
        <f aca="false">E85+E86</f>
        <v>0.00880134714285714</v>
      </c>
      <c r="F87" s="50" t="n">
        <f aca="false">F85+F86</f>
        <v>0.0182356142857143</v>
      </c>
      <c r="G87" s="50" t="n">
        <f aca="false">G85+G86</f>
        <v>0.0283038821428572</v>
      </c>
      <c r="H87" s="50" t="n">
        <f aca="false">H85+H86</f>
        <v>0.0390063478571429</v>
      </c>
      <c r="I87" s="50" t="n">
        <f aca="false">I85+I86</f>
        <v>0.0469890178571429</v>
      </c>
      <c r="J87" s="50" t="n">
        <f aca="false">J85+J86</f>
        <v>0.0553948807142857</v>
      </c>
      <c r="K87" s="50" t="n">
        <f aca="false">K85+K86</f>
        <v>0.0606595257142857</v>
      </c>
      <c r="L87" s="51" t="n">
        <f aca="false">K87</f>
        <v>0.0606595257142857</v>
      </c>
    </row>
    <row r="88" customFormat="false" ht="15" hidden="false" customHeight="false" outlineLevel="0" collapsed="false">
      <c r="A88" s="41" t="n">
        <v>76</v>
      </c>
      <c r="B88" s="21" t="s">
        <v>325</v>
      </c>
      <c r="C88" s="11" t="s">
        <v>316</v>
      </c>
      <c r="D88" s="50" t="n">
        <f aca="false">D87*Assumptions!$D$31</f>
        <v>0.000848493642857143</v>
      </c>
      <c r="E88" s="50" t="n">
        <f aca="false">E87*Assumptions!$D$31</f>
        <v>0.00264040414285714</v>
      </c>
      <c r="F88" s="50" t="n">
        <f aca="false">F87*Assumptions!$D$31</f>
        <v>0.00547068428571429</v>
      </c>
      <c r="G88" s="50" t="n">
        <f aca="false">G87*Assumptions!$D$31</f>
        <v>0.00849116464285715</v>
      </c>
      <c r="H88" s="50" t="n">
        <f aca="false">H87*Assumptions!$D$31</f>
        <v>0.0117019043571429</v>
      </c>
      <c r="I88" s="50" t="n">
        <f aca="false">I87*Assumptions!$D$31</f>
        <v>0.0140967053571429</v>
      </c>
      <c r="J88" s="50" t="n">
        <f aca="false">J87*Assumptions!$D$31</f>
        <v>0.0166184642142857</v>
      </c>
      <c r="K88" s="50" t="n">
        <f aca="false">K87*Assumptions!$D$31</f>
        <v>0.0181978577142857</v>
      </c>
      <c r="L88" s="51" t="n">
        <f aca="false">K88</f>
        <v>0.0181978577142857</v>
      </c>
    </row>
    <row r="89" customFormat="false" ht="15" hidden="false" customHeight="false" outlineLevel="0" collapsed="false">
      <c r="A89" s="41" t="n">
        <v>77</v>
      </c>
      <c r="B89" s="21" t="s">
        <v>355</v>
      </c>
      <c r="C89" s="11" t="s">
        <v>47</v>
      </c>
      <c r="D89" s="34" t="n">
        <f aca="false">MAX(0,MIN(Assumptions!$D$16,10)-5)*Assumptions!$D$26+MAX(0,MIN(Assumptions!$D$16,20)-10)*Assumptions!$D$27+MAX(0,Assumptions!$D$16-20)*Assumptions!$D$28</f>
        <v>87</v>
      </c>
      <c r="E89" s="34" t="n">
        <f aca="false">MAX(0,MIN(Assumptions!$D$16,10)-5)*Assumptions!$D$26+MAX(0,MIN(Assumptions!$D$16,20)-10)*Assumptions!$D$27+MAX(0,Assumptions!$D$16-20)*Assumptions!$D$28</f>
        <v>87</v>
      </c>
      <c r="F89" s="34" t="n">
        <f aca="false">MAX(0,MIN(Assumptions!$D$16,10)-5)*Assumptions!$D$26+MAX(0,MIN(Assumptions!$D$16,20)-10)*Assumptions!$D$27+MAX(0,Assumptions!$D$16-20)*Assumptions!$D$28</f>
        <v>87</v>
      </c>
      <c r="G89" s="34" t="n">
        <f aca="false">MAX(0,MIN(Assumptions!$D$16,10)-5)*Assumptions!$D$26+MAX(0,MIN(Assumptions!$D$16,20)-10)*Assumptions!$D$27+MAX(0,Assumptions!$D$16-20)*Assumptions!$D$28</f>
        <v>87</v>
      </c>
      <c r="H89" s="34" t="n">
        <f aca="false">MAX(0,MIN(Assumptions!$D$16,10)-5)*Assumptions!$D$26+MAX(0,MIN(Assumptions!$D$16,20)-10)*Assumptions!$D$27+MAX(0,Assumptions!$D$16-20)*Assumptions!$D$28</f>
        <v>87</v>
      </c>
      <c r="I89" s="34" t="n">
        <f aca="false">MAX(0,MIN(Assumptions!$D$16,10)-5)*Assumptions!$D$26+MAX(0,MIN(Assumptions!$D$16,20)-10)*Assumptions!$D$27+MAX(0,Assumptions!$D$16-20)*Assumptions!$D$28</f>
        <v>87</v>
      </c>
      <c r="J89" s="34" t="n">
        <f aca="false">MAX(0,MIN(Assumptions!$D$16,10)-5)*Assumptions!$D$26+MAX(0,MIN(Assumptions!$D$16,20)-10)*Assumptions!$D$27+MAX(0,Assumptions!$D$16-20)*Assumptions!$D$28</f>
        <v>87</v>
      </c>
      <c r="K89" s="34" t="n">
        <f aca="false">MAX(0,MIN(Assumptions!$D$16,10)-5)*Assumptions!$D$26+MAX(0,MIN(Assumptions!$D$16,20)-10)*Assumptions!$D$27+MAX(0,Assumptions!$D$16-20)*Assumptions!$D$28</f>
        <v>87</v>
      </c>
      <c r="L89" s="57" t="n">
        <f aca="false">K89</f>
        <v>87</v>
      </c>
    </row>
    <row r="90" customFormat="false" ht="15" hidden="false" customHeight="false" outlineLevel="0" collapsed="false">
      <c r="A90" s="41" t="n">
        <v>78</v>
      </c>
      <c r="B90" s="21" t="s">
        <v>326</v>
      </c>
      <c r="C90" s="11" t="s">
        <v>316</v>
      </c>
      <c r="D90" s="50" t="n">
        <f aca="false">D83*Assumptions!$D$35</f>
        <v>0.000106028571428571</v>
      </c>
      <c r="E90" s="50" t="n">
        <f aca="false">E83*Assumptions!$D$35</f>
        <v>0.000329914285714286</v>
      </c>
      <c r="F90" s="50" t="n">
        <f aca="false">F83*Assumptions!$D$35</f>
        <v>0.000683485714285714</v>
      </c>
      <c r="G90" s="50" t="n">
        <f aca="false">G83*Assumptions!$D$35</f>
        <v>0.00106071428571429</v>
      </c>
      <c r="H90" s="50" t="n">
        <f aca="false">H83*Assumptions!$D$35</f>
        <v>0.0014616</v>
      </c>
      <c r="I90" s="50" t="n">
        <f aca="false">I83*Assumptions!$D$35</f>
        <v>0.0017604</v>
      </c>
      <c r="J90" s="50" t="n">
        <f aca="false">J83*Assumptions!$D$35</f>
        <v>0.00207497142857143</v>
      </c>
      <c r="K90" s="50" t="n">
        <f aca="false">K83*Assumptions!$D$35</f>
        <v>0.00227168571428571</v>
      </c>
      <c r="L90" s="51" t="n">
        <f aca="false">K90</f>
        <v>0.00227168571428571</v>
      </c>
    </row>
    <row r="91" customFormat="false" ht="15" hidden="false" customHeight="false" outlineLevel="0" collapsed="false">
      <c r="A91" s="41" t="n">
        <v>79</v>
      </c>
      <c r="B91" s="21" t="s">
        <v>327</v>
      </c>
      <c r="C91" s="11" t="s">
        <v>316</v>
      </c>
      <c r="D91" s="50" t="n">
        <f aca="false">D90*Assumptions!$D$36/4</f>
        <v>3.97607142857143E-005</v>
      </c>
      <c r="E91" s="50" t="n">
        <f aca="false">E90*Assumptions!$D$36/4</f>
        <v>0.000123717857142857</v>
      </c>
      <c r="F91" s="50" t="n">
        <f aca="false">F90*Assumptions!$D$36/4</f>
        <v>0.000256307142857143</v>
      </c>
      <c r="G91" s="50" t="n">
        <f aca="false">G90*Assumptions!$D$36/4</f>
        <v>0.000397767857142857</v>
      </c>
      <c r="H91" s="50" t="n">
        <f aca="false">H90*Assumptions!$D$36/4</f>
        <v>0.0005481</v>
      </c>
      <c r="I91" s="50" t="n">
        <f aca="false">I90*Assumptions!$D$36/4</f>
        <v>0.00066015</v>
      </c>
      <c r="J91" s="50" t="n">
        <f aca="false">J90*Assumptions!$D$36/4</f>
        <v>0.000778114285714286</v>
      </c>
      <c r="K91" s="50" t="n">
        <f aca="false">K90*Assumptions!$D$36/4</f>
        <v>0.000851882142857143</v>
      </c>
      <c r="L91" s="52" t="n">
        <f aca="false">SUM(D91:K91)</f>
        <v>0.0036558</v>
      </c>
    </row>
    <row r="92" customFormat="false" ht="15" hidden="false" customHeight="false" outlineLevel="0" collapsed="false">
      <c r="A92" s="41" t="n">
        <v>80</v>
      </c>
      <c r="B92" s="21" t="s">
        <v>328</v>
      </c>
      <c r="C92" s="11" t="s">
        <v>275</v>
      </c>
      <c r="D92" s="53" t="n">
        <f aca="false">D91*Assumptions!$D$37*Assumptions!$D$16/100</f>
        <v>0.127234285714286</v>
      </c>
      <c r="E92" s="53" t="n">
        <f aca="false">E91*Assumptions!$D$37*Assumptions!$D$16/100</f>
        <v>0.395897142857143</v>
      </c>
      <c r="F92" s="53" t="n">
        <f aca="false">F91*Assumptions!$D$37*Assumptions!$D$16/100</f>
        <v>0.820182857142857</v>
      </c>
      <c r="G92" s="53" t="n">
        <f aca="false">G91*Assumptions!$D$37*Assumptions!$D$16/100</f>
        <v>1.27285714285714</v>
      </c>
      <c r="H92" s="53" t="n">
        <f aca="false">H91*Assumptions!$D$37*Assumptions!$D$16/100</f>
        <v>1.75392</v>
      </c>
      <c r="I92" s="53" t="n">
        <f aca="false">I91*Assumptions!$D$37*Assumptions!$D$16/100</f>
        <v>2.11248</v>
      </c>
      <c r="J92" s="53" t="n">
        <f aca="false">J91*Assumptions!$D$37*Assumptions!$D$16/100</f>
        <v>2.48996571428571</v>
      </c>
      <c r="K92" s="53" t="n">
        <f aca="false">K91*Assumptions!$D$37*Assumptions!$D$16/100</f>
        <v>2.72602285714286</v>
      </c>
      <c r="L92" s="54" t="n">
        <f aca="false">SUM(D92:K92)</f>
        <v>11.69856</v>
      </c>
    </row>
    <row r="93" customFormat="false" ht="15" hidden="false" customHeight="false" outlineLevel="0" collapsed="false">
      <c r="A93" s="41" t="n">
        <v>81</v>
      </c>
      <c r="B93" s="21" t="s">
        <v>329</v>
      </c>
      <c r="C93" s="11" t="s">
        <v>275</v>
      </c>
      <c r="D93" s="34" t="n">
        <f aca="false">D85*Assumptions!$D$7*3/100</f>
        <v>5.08937142857143</v>
      </c>
      <c r="E93" s="34" t="n">
        <f aca="false">E85*Assumptions!$D$7*3/100</f>
        <v>15.8358857142857</v>
      </c>
      <c r="F93" s="34" t="n">
        <f aca="false">F85*Assumptions!$D$7*3/100</f>
        <v>32.8073142857143</v>
      </c>
      <c r="G93" s="34" t="n">
        <f aca="false">G85*Assumptions!$D$7*3/100</f>
        <v>50.9142857142857</v>
      </c>
      <c r="H93" s="34" t="n">
        <f aca="false">H85*Assumptions!$D$7*3/100</f>
        <v>70.1568</v>
      </c>
      <c r="I93" s="34" t="n">
        <f aca="false">I85*Assumptions!$D$7*3/100</f>
        <v>84.4992</v>
      </c>
      <c r="J93" s="34" t="n">
        <f aca="false">J85*Assumptions!$D$7*3/100</f>
        <v>99.5986285714286</v>
      </c>
      <c r="K93" s="34" t="n">
        <f aca="false">K85*Assumptions!$D$7*3/100</f>
        <v>109.040914285714</v>
      </c>
      <c r="L93" s="55" t="n">
        <f aca="false">SUM(D93:K93)</f>
        <v>467.9424</v>
      </c>
    </row>
    <row r="94" customFormat="false" ht="15" hidden="false" customHeight="false" outlineLevel="0" collapsed="false">
      <c r="A94" s="41" t="n">
        <v>82</v>
      </c>
      <c r="B94" s="21" t="s">
        <v>330</v>
      </c>
      <c r="C94" s="11" t="s">
        <v>275</v>
      </c>
      <c r="D94" s="53" t="n">
        <f aca="false">D93*Assumptions!$D$42</f>
        <v>0.0508937142857143</v>
      </c>
      <c r="E94" s="53" t="n">
        <f aca="false">E93*Assumptions!$D$42</f>
        <v>0.158358857142857</v>
      </c>
      <c r="F94" s="53" t="n">
        <f aca="false">F93*Assumptions!$D$42</f>
        <v>0.328073142857143</v>
      </c>
      <c r="G94" s="53" t="n">
        <f aca="false">G93*Assumptions!$D$42</f>
        <v>0.509142857142857</v>
      </c>
      <c r="H94" s="53" t="n">
        <f aca="false">H93*Assumptions!$D$42</f>
        <v>0.701568</v>
      </c>
      <c r="I94" s="53" t="n">
        <f aca="false">I93*Assumptions!$D$42</f>
        <v>0.844992</v>
      </c>
      <c r="J94" s="53" t="n">
        <f aca="false">J93*Assumptions!$D$42</f>
        <v>0.995986285714286</v>
      </c>
      <c r="K94" s="53" t="n">
        <f aca="false">K93*Assumptions!$D$42</f>
        <v>1.09040914285714</v>
      </c>
      <c r="L94" s="54" t="n">
        <f aca="false">SUM(D94:K94)</f>
        <v>4.679424</v>
      </c>
    </row>
    <row r="95" customFormat="false" ht="15" hidden="false" customHeight="false" outlineLevel="0" collapsed="false">
      <c r="A95" s="41" t="n">
        <v>83</v>
      </c>
      <c r="B95" s="21" t="s">
        <v>353</v>
      </c>
      <c r="C95" s="11" t="s">
        <v>275</v>
      </c>
      <c r="D95" s="53" t="n">
        <f aca="false">D93*Assumptions!$D$43</f>
        <v>0.0508937142857143</v>
      </c>
      <c r="E95" s="53" t="n">
        <f aca="false">E93*Assumptions!$D$43</f>
        <v>0.158358857142857</v>
      </c>
      <c r="F95" s="53" t="n">
        <f aca="false">F93*Assumptions!$D$43</f>
        <v>0.328073142857143</v>
      </c>
      <c r="G95" s="53" t="n">
        <f aca="false">G93*Assumptions!$D$43</f>
        <v>0.509142857142857</v>
      </c>
      <c r="H95" s="53" t="n">
        <f aca="false">H93*Assumptions!$D$43</f>
        <v>0.701568</v>
      </c>
      <c r="I95" s="53" t="n">
        <f aca="false">I93*Assumptions!$D$43</f>
        <v>0.844992</v>
      </c>
      <c r="J95" s="53" t="n">
        <f aca="false">J93*Assumptions!$D$43</f>
        <v>0.995986285714286</v>
      </c>
      <c r="K95" s="53" t="n">
        <f aca="false">K93*Assumptions!$D$43</f>
        <v>1.09040914285714</v>
      </c>
      <c r="L95" s="54" t="n">
        <f aca="false">SUM(D95:K95)</f>
        <v>4.679424</v>
      </c>
    </row>
    <row r="96" customFormat="false" ht="15" hidden="false" customHeight="false" outlineLevel="0" collapsed="false">
      <c r="A96" s="41" t="n">
        <v>84</v>
      </c>
      <c r="B96" s="21" t="s">
        <v>331</v>
      </c>
      <c r="C96" s="11" t="s">
        <v>275</v>
      </c>
      <c r="D96" s="53" t="n">
        <f aca="false">D88*Assumptions!$D$7*3/100*Assumptions!$D$44</f>
        <v>0.00763644278571429</v>
      </c>
      <c r="E96" s="53" t="n">
        <f aca="false">E88*Assumptions!$D$7*3/100*Assumptions!$D$44</f>
        <v>0.0237636372857143</v>
      </c>
      <c r="F96" s="53" t="n">
        <f aca="false">F88*Assumptions!$D$7*3/100*Assumptions!$D$44</f>
        <v>0.0492361585714286</v>
      </c>
      <c r="G96" s="53" t="n">
        <f aca="false">G88*Assumptions!$D$7*3/100*Assumptions!$D$44</f>
        <v>0.0764204817857143</v>
      </c>
      <c r="H96" s="53" t="n">
        <f aca="false">H88*Assumptions!$D$7*3/100*Assumptions!$D$44</f>
        <v>0.105317139214286</v>
      </c>
      <c r="I96" s="53" t="n">
        <f aca="false">I88*Assumptions!$D$7*3/100*Assumptions!$D$44</f>
        <v>0.126870348214286</v>
      </c>
      <c r="J96" s="53" t="n">
        <f aca="false">J88*Assumptions!$D$7*3/100*Assumptions!$D$44</f>
        <v>0.149566177928571</v>
      </c>
      <c r="K96" s="53" t="n">
        <f aca="false">K88*Assumptions!$D$7*3/100*Assumptions!$D$44</f>
        <v>0.163780719428571</v>
      </c>
      <c r="L96" s="54" t="n">
        <f aca="false">SUM(D96:K96)</f>
        <v>0.702591105214286</v>
      </c>
    </row>
    <row r="97" customFormat="false" ht="15" hidden="false" customHeight="false" outlineLevel="0" collapsed="false">
      <c r="A97" s="41" t="n">
        <v>85</v>
      </c>
      <c r="B97" s="21" t="s">
        <v>332</v>
      </c>
      <c r="C97" s="11" t="s">
        <v>316</v>
      </c>
      <c r="D97" s="50" t="n">
        <f aca="false">N(C97)+D87*Assumptions!$D$45/4</f>
        <v>7.07078035714286E-006</v>
      </c>
      <c r="E97" s="50" t="n">
        <f aca="false">N(D97)+E87*Assumptions!$D$45/4</f>
        <v>2.90741482142857E-005</v>
      </c>
      <c r="F97" s="50" t="n">
        <f aca="false">N(E97)+F87*Assumptions!$D$45/4</f>
        <v>7.46631839285714E-005</v>
      </c>
      <c r="G97" s="50" t="n">
        <f aca="false">N(F97)+G87*Assumptions!$D$45/4</f>
        <v>0.000145422889285714</v>
      </c>
      <c r="H97" s="50" t="n">
        <f aca="false">N(G97)+H87*Assumptions!$D$45/4</f>
        <v>0.000242938758928571</v>
      </c>
      <c r="I97" s="50" t="n">
        <f aca="false">N(H97)+I87*Assumptions!$D$45/4</f>
        <v>0.000360411303571429</v>
      </c>
      <c r="J97" s="50" t="n">
        <f aca="false">N(I97)+J87*Assumptions!$D$45/4</f>
        <v>0.000498898505357143</v>
      </c>
      <c r="K97" s="50" t="n">
        <f aca="false">N(J97)+K87*Assumptions!$D$45/4</f>
        <v>0.000650547319642857</v>
      </c>
      <c r="L97" s="51" t="n">
        <f aca="false">K97</f>
        <v>0.000650547319642857</v>
      </c>
    </row>
    <row r="98" customFormat="false" ht="15" hidden="false" customHeight="false" outlineLevel="0" collapsed="false">
      <c r="A98" s="41" t="n">
        <v>86</v>
      </c>
      <c r="B98" s="21" t="s">
        <v>333</v>
      </c>
      <c r="C98" s="11" t="s">
        <v>275</v>
      </c>
      <c r="D98" s="53" t="n">
        <f aca="false">D97*Assumptions!$D$7*3/100</f>
        <v>0.0127274046428571</v>
      </c>
      <c r="E98" s="53" t="n">
        <f aca="false">E97*Assumptions!$D$7*3/100</f>
        <v>0.0523334667857143</v>
      </c>
      <c r="F98" s="53" t="n">
        <f aca="false">F97*Assumptions!$D$7*3/100</f>
        <v>0.134393731071429</v>
      </c>
      <c r="G98" s="53" t="n">
        <f aca="false">G97*Assumptions!$D$7*3/100</f>
        <v>0.261761200714286</v>
      </c>
      <c r="H98" s="53" t="n">
        <f aca="false">H97*Assumptions!$D$7*3/100</f>
        <v>0.437289766071429</v>
      </c>
      <c r="I98" s="53" t="n">
        <f aca="false">I97*Assumptions!$D$7*3/100</f>
        <v>0.648740346428571</v>
      </c>
      <c r="J98" s="53" t="n">
        <f aca="false">J97*Assumptions!$D$7*3/100</f>
        <v>0.898017309642857</v>
      </c>
      <c r="K98" s="53" t="n">
        <f aca="false">K97*Assumptions!$D$7*3/100</f>
        <v>1.17098517535714</v>
      </c>
      <c r="L98" s="54" t="n">
        <f aca="false">SUM(D98:K98)</f>
        <v>3.61624840071429</v>
      </c>
    </row>
    <row r="99" customFormat="false" ht="15" hidden="false" customHeight="false" outlineLevel="0" collapsed="false">
      <c r="A99" s="41" t="n">
        <v>87</v>
      </c>
      <c r="B99" s="21" t="s">
        <v>334</v>
      </c>
      <c r="C99" s="11" t="s">
        <v>275</v>
      </c>
      <c r="D99" s="53" t="n">
        <f aca="false">D86*Assumptions!$D$7*3/100</f>
        <v>0.00159042857142857</v>
      </c>
      <c r="E99" s="53" t="n">
        <f aca="false">E86*Assumptions!$D$7*3/100</f>
        <v>0.00653914285714286</v>
      </c>
      <c r="F99" s="53" t="n">
        <f aca="false">F86*Assumptions!$D$7*3/100</f>
        <v>0.0167914285714286</v>
      </c>
      <c r="G99" s="53" t="n">
        <f aca="false">G86*Assumptions!$D$7*3/100</f>
        <v>0.0327021428571429</v>
      </c>
      <c r="H99" s="53" t="n">
        <f aca="false">H86*Assumptions!$D$7*3/100</f>
        <v>0.0546261428571429</v>
      </c>
      <c r="I99" s="53" t="n">
        <f aca="false">I86*Assumptions!$D$7*3/100</f>
        <v>0.0810321428571429</v>
      </c>
      <c r="J99" s="53" t="n">
        <f aca="false">J86*Assumptions!$D$7*3/100</f>
        <v>0.112156714285714</v>
      </c>
      <c r="K99" s="53" t="n">
        <f aca="false">K86*Assumptions!$D$7*3/100</f>
        <v>0.146232</v>
      </c>
      <c r="L99" s="54" t="n">
        <f aca="false">SUM(D99:K99)</f>
        <v>0.451670142857143</v>
      </c>
    </row>
    <row r="100" customFormat="false" ht="15" hidden="false" customHeight="false" outlineLevel="0" collapsed="false">
      <c r="A100" s="41" t="n">
        <v>88</v>
      </c>
      <c r="B100" s="21" t="s">
        <v>335</v>
      </c>
      <c r="C100" s="11" t="s">
        <v>275</v>
      </c>
      <c r="D100" s="53" t="n">
        <f aca="false">D94+D96+D98+D99+D95</f>
        <v>0.123741704571429</v>
      </c>
      <c r="E100" s="53" t="n">
        <f aca="false">E94+E96+E98+E99+E95</f>
        <v>0.399353961214286</v>
      </c>
      <c r="F100" s="53" t="n">
        <f aca="false">F94+F96+F98+F99+F95</f>
        <v>0.856567603928572</v>
      </c>
      <c r="G100" s="53" t="n">
        <f aca="false">G94+G96+G98+G99+G95</f>
        <v>1.38916953964286</v>
      </c>
      <c r="H100" s="53" t="n">
        <f aca="false">H94+H96+H98+H99+H95</f>
        <v>2.00036904814286</v>
      </c>
      <c r="I100" s="53" t="n">
        <f aca="false">I94+I96+I98+I99+I95</f>
        <v>2.5466268375</v>
      </c>
      <c r="J100" s="53" t="n">
        <f aca="false">J94+J96+J98+J99+J95</f>
        <v>3.15171277328571</v>
      </c>
      <c r="K100" s="53" t="n">
        <f aca="false">K94+K96+K98+K99+K95</f>
        <v>3.6618161805</v>
      </c>
      <c r="L100" s="54" t="n">
        <f aca="false">SUM(D100:K100)</f>
        <v>14.1293576487857</v>
      </c>
    </row>
    <row r="101" customFormat="false" ht="15" hidden="false" customHeight="false" outlineLevel="0" collapsed="false">
      <c r="A101" s="41" t="n">
        <v>89</v>
      </c>
      <c r="B101" s="21" t="s">
        <v>336</v>
      </c>
      <c r="C101" s="11" t="s">
        <v>275</v>
      </c>
      <c r="D101" s="24" t="n">
        <f aca="false">D83*Assumptions!$D$25*3/100</f>
        <v>0.00157982571428571</v>
      </c>
      <c r="E101" s="24" t="n">
        <f aca="false">E83*Assumptions!$D$25*3/100</f>
        <v>0.00491572285714286</v>
      </c>
      <c r="F101" s="24" t="n">
        <f aca="false">F83*Assumptions!$D$25*3/100</f>
        <v>0.0101839371428571</v>
      </c>
      <c r="G101" s="24" t="n">
        <f aca="false">G83*Assumptions!$D$25*3/100</f>
        <v>0.0158046428571429</v>
      </c>
      <c r="H101" s="24" t="n">
        <f aca="false">H83*Assumptions!$D$25*3/100</f>
        <v>0.02177784</v>
      </c>
      <c r="I101" s="24" t="n">
        <f aca="false">I83*Assumptions!$D$25*3/100</f>
        <v>0.02622996</v>
      </c>
      <c r="J101" s="24" t="n">
        <f aca="false">J83*Assumptions!$D$25*3/100</f>
        <v>0.0309170742857143</v>
      </c>
      <c r="K101" s="24" t="n">
        <f aca="false">K83*Assumptions!$D$25*3/100</f>
        <v>0.0338481171428571</v>
      </c>
      <c r="L101" s="56" t="n">
        <f aca="false">SUM(D101:K101)</f>
        <v>0.14525712</v>
      </c>
    </row>
    <row r="102" customFormat="false" ht="15" hidden="false" customHeight="false" outlineLevel="0" collapsed="false">
      <c r="A102" s="41" t="n">
        <v>90</v>
      </c>
      <c r="B102" s="21" t="s">
        <v>356</v>
      </c>
      <c r="C102" s="11" t="s">
        <v>275</v>
      </c>
      <c r="D102" s="24" t="n">
        <f aca="false">D83*D89*3/100</f>
        <v>0.000922448571428571</v>
      </c>
      <c r="E102" s="24" t="n">
        <f aca="false">E83*E89*3/100</f>
        <v>0.00287025428571429</v>
      </c>
      <c r="F102" s="24" t="n">
        <f aca="false">F83*F89*3/100</f>
        <v>0.00594632571428572</v>
      </c>
      <c r="G102" s="24" t="n">
        <f aca="false">G83*G89*3/100</f>
        <v>0.00922821428571429</v>
      </c>
      <c r="H102" s="24" t="n">
        <f aca="false">H83*H89*3/100</f>
        <v>0.01271592</v>
      </c>
      <c r="I102" s="24" t="n">
        <f aca="false">I83*I89*3/100</f>
        <v>0.01531548</v>
      </c>
      <c r="J102" s="24" t="n">
        <f aca="false">J83*J89*3/100</f>
        <v>0.0180522514285714</v>
      </c>
      <c r="K102" s="24" t="n">
        <f aca="false">K83*K89*3/100</f>
        <v>0.0197636657142857</v>
      </c>
      <c r="L102" s="56" t="n">
        <f aca="false">SUM(D102:K102)</f>
        <v>0.08481456</v>
      </c>
    </row>
    <row r="103" customFormat="false" ht="15" hidden="false" customHeight="false" outlineLevel="0" collapsed="false">
      <c r="A103" s="41" t="n">
        <v>91</v>
      </c>
      <c r="B103" s="21" t="s">
        <v>337</v>
      </c>
      <c r="C103" s="11" t="s">
        <v>275</v>
      </c>
      <c r="D103" s="24" t="n">
        <f aca="false">D88*Assumptions!$D$29*3/100</f>
        <v>0.00201092993357143</v>
      </c>
      <c r="E103" s="24" t="n">
        <f aca="false">E88*Assumptions!$D$29*3/100</f>
        <v>0.00625775781857143</v>
      </c>
      <c r="F103" s="24" t="n">
        <f aca="false">F88*Assumptions!$D$29*3/100</f>
        <v>0.0129655217571429</v>
      </c>
      <c r="G103" s="24" t="n">
        <f aca="false">G88*Assumptions!$D$29*3/100</f>
        <v>0.0201240602035714</v>
      </c>
      <c r="H103" s="24" t="n">
        <f aca="false">H88*Assumptions!$D$29*3/100</f>
        <v>0.0277335133264286</v>
      </c>
      <c r="I103" s="24" t="n">
        <f aca="false">I88*Assumptions!$D$29*3/100</f>
        <v>0.0334091916964286</v>
      </c>
      <c r="J103" s="24" t="n">
        <f aca="false">J88*Assumptions!$D$29*3/100</f>
        <v>0.0393857601878571</v>
      </c>
      <c r="K103" s="24" t="n">
        <f aca="false">K88*Assumptions!$D$29*3/100</f>
        <v>0.0431289227828571</v>
      </c>
      <c r="L103" s="56" t="n">
        <f aca="false">SUM(D103:K103)</f>
        <v>0.185015657706429</v>
      </c>
    </row>
    <row r="104" customFormat="false" ht="15" hidden="false" customHeight="false" outlineLevel="0" collapsed="false">
      <c r="A104" s="41" t="n">
        <v>92</v>
      </c>
      <c r="B104" s="21" t="s">
        <v>338</v>
      </c>
      <c r="C104" s="11" t="s">
        <v>275</v>
      </c>
      <c r="D104" s="24" t="n">
        <f aca="false">D83*Assumptions!$D$33*Assumptions!$D$32*3/100</f>
        <v>8.37625714285714E-005</v>
      </c>
      <c r="E104" s="24" t="n">
        <f aca="false">E83*Assumptions!$D$33*Assumptions!$D$32*3/100</f>
        <v>0.000260632285714286</v>
      </c>
      <c r="F104" s="24" t="n">
        <f aca="false">F83*Assumptions!$D$33*Assumptions!$D$32*3/100</f>
        <v>0.000539953714285714</v>
      </c>
      <c r="G104" s="24" t="n">
        <f aca="false">G83*Assumptions!$D$33*Assumptions!$D$32*3/100</f>
        <v>0.000837964285714286</v>
      </c>
      <c r="H104" s="24" t="n">
        <f aca="false">H83*Assumptions!$D$33*Assumptions!$D$32*3/100</f>
        <v>0.001154664</v>
      </c>
      <c r="I104" s="24" t="n">
        <f aca="false">I83*Assumptions!$D$33*Assumptions!$D$32*3/100</f>
        <v>0.001390716</v>
      </c>
      <c r="J104" s="24" t="n">
        <f aca="false">J83*Assumptions!$D$33*Assumptions!$D$32*3/100</f>
        <v>0.00163922742857143</v>
      </c>
      <c r="K104" s="24" t="n">
        <f aca="false">K83*Assumptions!$D$33*Assumptions!$D$32*3/100</f>
        <v>0.00179463171428571</v>
      </c>
      <c r="L104" s="56" t="n">
        <f aca="false">SUM(D104:K104)</f>
        <v>0.007701552</v>
      </c>
    </row>
    <row r="105" customFormat="false" ht="15" hidden="false" customHeight="false" outlineLevel="0" collapsed="false">
      <c r="A105" s="41" t="n">
        <v>93</v>
      </c>
      <c r="B105" s="21" t="s">
        <v>339</v>
      </c>
      <c r="C105" s="11" t="s">
        <v>275</v>
      </c>
      <c r="D105" s="24" t="n">
        <f aca="false">D92*Assumptions!$D$38</f>
        <v>0.00190851428571429</v>
      </c>
      <c r="E105" s="24" t="n">
        <f aca="false">E92*Assumptions!$D$38</f>
        <v>0.00593845714285714</v>
      </c>
      <c r="F105" s="24" t="n">
        <f aca="false">F92*Assumptions!$D$38</f>
        <v>0.0123027428571429</v>
      </c>
      <c r="G105" s="24" t="n">
        <f aca="false">G92*Assumptions!$D$38</f>
        <v>0.0190928571428571</v>
      </c>
      <c r="H105" s="24" t="n">
        <f aca="false">H92*Assumptions!$D$38</f>
        <v>0.0263088</v>
      </c>
      <c r="I105" s="24" t="n">
        <f aca="false">I92*Assumptions!$D$38</f>
        <v>0.0316872</v>
      </c>
      <c r="J105" s="24" t="n">
        <f aca="false">J92*Assumptions!$D$38</f>
        <v>0.0373494857142857</v>
      </c>
      <c r="K105" s="24" t="n">
        <f aca="false">K92*Assumptions!$D$38</f>
        <v>0.0408903428571429</v>
      </c>
      <c r="L105" s="56" t="n">
        <f aca="false">SUM(D105:K105)</f>
        <v>0.1754784</v>
      </c>
    </row>
    <row r="106" customFormat="false" ht="15" hidden="false" customHeight="false" outlineLevel="0" collapsed="false">
      <c r="A106" s="41" t="n">
        <v>94</v>
      </c>
      <c r="B106" s="21" t="s">
        <v>340</v>
      </c>
      <c r="C106" s="11" t="s">
        <v>275</v>
      </c>
      <c r="D106" s="24" t="n">
        <f aca="false">D100*Assumptions!$D$6</f>
        <v>4.94966818285714E-005</v>
      </c>
      <c r="E106" s="24" t="n">
        <f aca="false">E100*Assumptions!$D$6</f>
        <v>0.000159741584485714</v>
      </c>
      <c r="F106" s="24" t="n">
        <f aca="false">F100*Assumptions!$D$6</f>
        <v>0.000342627041571429</v>
      </c>
      <c r="G106" s="24" t="n">
        <f aca="false">G100*Assumptions!$D$6</f>
        <v>0.000555667815857143</v>
      </c>
      <c r="H106" s="24" t="n">
        <f aca="false">H100*Assumptions!$D$6</f>
        <v>0.000800147619257143</v>
      </c>
      <c r="I106" s="24" t="n">
        <f aca="false">I100*Assumptions!$D$6</f>
        <v>0.001018650735</v>
      </c>
      <c r="J106" s="24" t="n">
        <f aca="false">J100*Assumptions!$D$6</f>
        <v>0.00126068510931429</v>
      </c>
      <c r="K106" s="24" t="n">
        <f aca="false">K100*Assumptions!$D$6</f>
        <v>0.0014647264722</v>
      </c>
      <c r="L106" s="56" t="n">
        <f aca="false">SUM(D106:K106)</f>
        <v>0.00565174305951429</v>
      </c>
    </row>
    <row r="107" customFormat="false" ht="15" hidden="false" customHeight="false" outlineLevel="0" collapsed="false">
      <c r="A107" s="41" t="n">
        <v>95</v>
      </c>
      <c r="B107" s="21" t="s">
        <v>341</v>
      </c>
      <c r="C107" s="11" t="s">
        <v>275</v>
      </c>
      <c r="D107" s="24" t="n">
        <f aca="false">(D97+D86)*Assumptions!$D$9*3/100</f>
        <v>1.90904442857143E-005</v>
      </c>
      <c r="E107" s="24" t="n">
        <f aca="false">(E97+E86)*Assumptions!$D$9*3/100</f>
        <v>7.84968128571429E-005</v>
      </c>
      <c r="F107" s="24" t="n">
        <f aca="false">(F97+F86)*Assumptions!$D$9*3/100</f>
        <v>0.000201580212857143</v>
      </c>
      <c r="G107" s="24" t="n">
        <f aca="false">(G97+G86)*Assumptions!$D$9*3/100</f>
        <v>0.000392617791428572</v>
      </c>
      <c r="H107" s="24" t="n">
        <f aca="false">(H97+H86)*Assumptions!$D$9*3/100</f>
        <v>0.000655887878571429</v>
      </c>
      <c r="I107" s="24" t="n">
        <f aca="false">(I97+I86)*Assumptions!$D$9*3/100</f>
        <v>0.000973029985714286</v>
      </c>
      <c r="J107" s="24" t="n">
        <f aca="false">(J97+J86)*Assumptions!$D$9*3/100</f>
        <v>0.00134689869857143</v>
      </c>
      <c r="K107" s="24" t="n">
        <f aca="false">(K97+K86)*Assumptions!$D$9*3/100</f>
        <v>0.00175628956714286</v>
      </c>
      <c r="L107" s="56" t="n">
        <f aca="false">SUM(D107:K107)</f>
        <v>0.00542389139142857</v>
      </c>
    </row>
    <row r="108" customFormat="false" ht="15" hidden="false" customHeight="false" outlineLevel="0" collapsed="false">
      <c r="A108" s="41" t="n">
        <v>96</v>
      </c>
      <c r="B108" s="21" t="s">
        <v>342</v>
      </c>
      <c r="C108" s="11" t="s">
        <v>275</v>
      </c>
      <c r="D108" s="24" t="n">
        <f aca="false">SUM(D101:D107)</f>
        <v>0.00657406820254286</v>
      </c>
      <c r="E108" s="24" t="n">
        <f aca="false">SUM(E101:E107)</f>
        <v>0.0204810627873429</v>
      </c>
      <c r="F108" s="24" t="n">
        <f aca="false">SUM(F101:F107)</f>
        <v>0.0424826884401429</v>
      </c>
      <c r="G108" s="24" t="n">
        <f aca="false">SUM(G101:G107)</f>
        <v>0.0660360243822857</v>
      </c>
      <c r="H108" s="24" t="n">
        <f aca="false">SUM(H101:H107)</f>
        <v>0.0911467728242572</v>
      </c>
      <c r="I108" s="24" t="n">
        <f aca="false">SUM(I101:I107)</f>
        <v>0.110024228417143</v>
      </c>
      <c r="J108" s="24" t="n">
        <f aca="false">SUM(J101:J107)</f>
        <v>0.129951382852886</v>
      </c>
      <c r="K108" s="24" t="n">
        <f aca="false">SUM(K101:K107)</f>
        <v>0.142646696250771</v>
      </c>
      <c r="L108" s="56" t="n">
        <f aca="false">SUM(D108:K108)</f>
        <v>0.609342924157372</v>
      </c>
    </row>
    <row r="109" customFormat="false" ht="15" hidden="false" customHeight="false" outlineLevel="0" collapsed="false">
      <c r="A109" s="41" t="n">
        <v>97</v>
      </c>
      <c r="B109" s="21" t="s">
        <v>343</v>
      </c>
      <c r="C109" s="11" t="s">
        <v>275</v>
      </c>
      <c r="D109" s="24" t="n">
        <f aca="false">D87*Assumptions!$D$47*3/100</f>
        <v>0.00339397457142857</v>
      </c>
      <c r="E109" s="24" t="n">
        <f aca="false">E87*Assumptions!$D$47*3/100</f>
        <v>0.0105616165714286</v>
      </c>
      <c r="F109" s="24" t="n">
        <f aca="false">F87*Assumptions!$D$47*3/100</f>
        <v>0.0218827371428571</v>
      </c>
      <c r="G109" s="24" t="n">
        <f aca="false">G87*Assumptions!$D$47*3/100</f>
        <v>0.0339646585714286</v>
      </c>
      <c r="H109" s="24" t="n">
        <f aca="false">H87*Assumptions!$D$47*3/100</f>
        <v>0.0468076174285714</v>
      </c>
      <c r="I109" s="24" t="n">
        <f aca="false">I87*Assumptions!$D$47*3/100</f>
        <v>0.0563868214285714</v>
      </c>
      <c r="J109" s="24" t="n">
        <f aca="false">J87*Assumptions!$D$47*3/100</f>
        <v>0.0664738568571429</v>
      </c>
      <c r="K109" s="24" t="n">
        <f aca="false">K87*Assumptions!$D$47*3/100</f>
        <v>0.0727914308571429</v>
      </c>
      <c r="L109" s="56" t="n">
        <f aca="false">SUM(D109:K109)</f>
        <v>0.312262713428571</v>
      </c>
    </row>
    <row r="110" customFormat="false" ht="15" hidden="false" customHeight="false" outlineLevel="0" collapsed="false">
      <c r="A110" s="41" t="n">
        <v>98</v>
      </c>
      <c r="B110" s="21" t="s">
        <v>344</v>
      </c>
      <c r="C110" s="11" t="s">
        <v>275</v>
      </c>
      <c r="D110" s="24" t="n">
        <f aca="false">D88*Assumptions!$D$48*90*Assumptions!$D$49/100</f>
        <v>0.00152728855714286</v>
      </c>
      <c r="E110" s="24" t="n">
        <f aca="false">E88*Assumptions!$D$48*90*Assumptions!$D$49/100</f>
        <v>0.00475272745714286</v>
      </c>
      <c r="F110" s="24" t="n">
        <f aca="false">F88*Assumptions!$D$48*90*Assumptions!$D$49/100</f>
        <v>0.00984723171428571</v>
      </c>
      <c r="G110" s="24" t="n">
        <f aca="false">G88*Assumptions!$D$48*90*Assumptions!$D$49/100</f>
        <v>0.0152840963571429</v>
      </c>
      <c r="H110" s="24" t="n">
        <f aca="false">H88*Assumptions!$D$48*90*Assumptions!$D$49/100</f>
        <v>0.0210634278428571</v>
      </c>
      <c r="I110" s="24" t="n">
        <f aca="false">I88*Assumptions!$D$48*90*Assumptions!$D$49/100</f>
        <v>0.0253740696428571</v>
      </c>
      <c r="J110" s="24" t="n">
        <f aca="false">J88*Assumptions!$D$48*90*Assumptions!$D$49/100</f>
        <v>0.0299132355857143</v>
      </c>
      <c r="K110" s="24" t="n">
        <f aca="false">K88*Assumptions!$D$48*90*Assumptions!$D$49/100</f>
        <v>0.0327561438857143</v>
      </c>
      <c r="L110" s="56" t="n">
        <f aca="false">SUM(D110:K110)</f>
        <v>0.140518221042857</v>
      </c>
    </row>
    <row r="111" customFormat="false" ht="15" hidden="false" customHeight="false" outlineLevel="0" collapsed="false">
      <c r="A111" s="41" t="n">
        <v>99</v>
      </c>
      <c r="B111" s="21" t="s">
        <v>345</v>
      </c>
      <c r="C111" s="11" t="s">
        <v>275</v>
      </c>
      <c r="D111" s="24" t="n">
        <f aca="false">D83*Assumptions!$D$50*3/100</f>
        <v>0.000265071428571429</v>
      </c>
      <c r="E111" s="24" t="n">
        <f aca="false">E83*Assumptions!$D$50*3/100</f>
        <v>0.000824785714285714</v>
      </c>
      <c r="F111" s="24" t="n">
        <f aca="false">F83*Assumptions!$D$50*3/100</f>
        <v>0.00170871428571429</v>
      </c>
      <c r="G111" s="24" t="n">
        <f aca="false">G83*Assumptions!$D$50*3/100</f>
        <v>0.00265178571428572</v>
      </c>
      <c r="H111" s="24" t="n">
        <f aca="false">H83*Assumptions!$D$50*3/100</f>
        <v>0.003654</v>
      </c>
      <c r="I111" s="24" t="n">
        <f aca="false">I83*Assumptions!$D$50*3/100</f>
        <v>0.004401</v>
      </c>
      <c r="J111" s="24" t="n">
        <f aca="false">J83*Assumptions!$D$50*3/100</f>
        <v>0.00518742857142857</v>
      </c>
      <c r="K111" s="24" t="n">
        <f aca="false">K83*Assumptions!$D$50*3/100</f>
        <v>0.00567921428571429</v>
      </c>
      <c r="L111" s="56" t="n">
        <f aca="false">SUM(D111:K111)</f>
        <v>0.024372</v>
      </c>
    </row>
    <row r="112" customFormat="false" ht="15" hidden="false" customHeight="false" outlineLevel="0" collapsed="false">
      <c r="A112" s="41" t="n">
        <v>100</v>
      </c>
      <c r="B112" s="21" t="s">
        <v>346</v>
      </c>
      <c r="C112" s="11" t="s">
        <v>275</v>
      </c>
      <c r="D112" s="24" t="n">
        <f aca="false">D87*Assumptions!$D$51*3/100</f>
        <v>0.00169698728571429</v>
      </c>
      <c r="E112" s="24" t="n">
        <f aca="false">E87*Assumptions!$D$51*3/100</f>
        <v>0.00528080828571429</v>
      </c>
      <c r="F112" s="24" t="n">
        <f aca="false">F87*Assumptions!$D$51*3/100</f>
        <v>0.0109413685714286</v>
      </c>
      <c r="G112" s="24" t="n">
        <f aca="false">G87*Assumptions!$D$51*3/100</f>
        <v>0.0169823292857143</v>
      </c>
      <c r="H112" s="24" t="n">
        <f aca="false">H87*Assumptions!$D$51*3/100</f>
        <v>0.0234038087142857</v>
      </c>
      <c r="I112" s="24" t="n">
        <f aca="false">I87*Assumptions!$D$51*3/100</f>
        <v>0.0281934107142857</v>
      </c>
      <c r="J112" s="24" t="n">
        <f aca="false">J87*Assumptions!$D$51*3/100</f>
        <v>0.0332369284285714</v>
      </c>
      <c r="K112" s="24" t="n">
        <f aca="false">K87*Assumptions!$D$51*3/100</f>
        <v>0.0363957154285714</v>
      </c>
      <c r="L112" s="56" t="n">
        <f aca="false">SUM(D112:K112)</f>
        <v>0.156131356714286</v>
      </c>
    </row>
    <row r="113" customFormat="false" ht="15" hidden="false" customHeight="false" outlineLevel="0" collapsed="false">
      <c r="A113" s="41" t="n">
        <v>101</v>
      </c>
      <c r="B113" s="21" t="s">
        <v>347</v>
      </c>
      <c r="C113" s="11" t="s">
        <v>275</v>
      </c>
      <c r="D113" s="24" t="n">
        <f aca="false">D84*(Assumptions!$D$52+Assumptions!$D$53*Assumptions!$D$16)/100</f>
        <v>0.00653842857142857</v>
      </c>
      <c r="E113" s="24" t="n">
        <f aca="false">E84*(Assumptions!$D$52+Assumptions!$D$53*Assumptions!$D$16)/100</f>
        <v>0.0138062857142857</v>
      </c>
      <c r="F113" s="24" t="n">
        <f aca="false">F84*(Assumptions!$D$52+Assumptions!$D$53*Assumptions!$D$16)/100</f>
        <v>0.0218035714285714</v>
      </c>
      <c r="G113" s="24" t="n">
        <f aca="false">G84*(Assumptions!$D$52+Assumptions!$D$53*Assumptions!$D$16)/100</f>
        <v>0.0232624285714286</v>
      </c>
      <c r="H113" s="24" t="n">
        <f aca="false">H84*(Assumptions!$D$52+Assumptions!$D$53*Assumptions!$D$16)/100</f>
        <v>0.0247212857142857</v>
      </c>
      <c r="I113" s="24" t="n">
        <f aca="false">I84*(Assumptions!$D$52+Assumptions!$D$53*Assumptions!$D$16)/100</f>
        <v>0.018426</v>
      </c>
      <c r="J113" s="24" t="n">
        <f aca="false">J84*(Assumptions!$D$52+Assumptions!$D$53*Assumptions!$D$16)/100</f>
        <v>0.0193985714285715</v>
      </c>
      <c r="K113" s="24" t="n">
        <f aca="false">K84*(Assumptions!$D$52+Assumptions!$D$53*Assumptions!$D$16)/100</f>
        <v>0.0121307142857143</v>
      </c>
      <c r="L113" s="56" t="n">
        <f aca="false">SUM(D113:K113)</f>
        <v>0.140087285714286</v>
      </c>
    </row>
    <row r="114" customFormat="false" ht="15" hidden="false" customHeight="false" outlineLevel="0" collapsed="false">
      <c r="A114" s="41" t="n">
        <v>102</v>
      </c>
      <c r="B114" s="21" t="s">
        <v>348</v>
      </c>
      <c r="C114" s="11" t="s">
        <v>275</v>
      </c>
      <c r="D114" s="24" t="n">
        <f aca="false">D92*Assumptions!$D$39</f>
        <v>0.000636171428571429</v>
      </c>
      <c r="E114" s="24" t="n">
        <f aca="false">E92*Assumptions!$D$39</f>
        <v>0.00197948571428572</v>
      </c>
      <c r="F114" s="24" t="n">
        <f aca="false">F92*Assumptions!$D$39</f>
        <v>0.00410091428571429</v>
      </c>
      <c r="G114" s="24" t="n">
        <f aca="false">G92*Assumptions!$D$39</f>
        <v>0.00636428571428572</v>
      </c>
      <c r="H114" s="24" t="n">
        <f aca="false">H92*Assumptions!$D$39</f>
        <v>0.0087696</v>
      </c>
      <c r="I114" s="24" t="n">
        <f aca="false">I92*Assumptions!$D$39</f>
        <v>0.0105624</v>
      </c>
      <c r="J114" s="24" t="n">
        <f aca="false">J92*Assumptions!$D$39</f>
        <v>0.0124498285714286</v>
      </c>
      <c r="K114" s="24" t="n">
        <f aca="false">K92*Assumptions!$D$39</f>
        <v>0.0136301142857143</v>
      </c>
      <c r="L114" s="56" t="n">
        <f aca="false">SUM(D114:K114)</f>
        <v>0.0584928</v>
      </c>
    </row>
    <row r="115" customFormat="false" ht="15" hidden="false" customHeight="false" outlineLevel="0" collapsed="false">
      <c r="A115" s="41" t="n">
        <v>103</v>
      </c>
      <c r="B115" s="21" t="s">
        <v>349</v>
      </c>
      <c r="C115" s="11" t="s">
        <v>275</v>
      </c>
      <c r="D115" s="24" t="n">
        <f aca="false">D92*Assumptions!$D$40</f>
        <v>0.000954257142857143</v>
      </c>
      <c r="E115" s="24" t="n">
        <f aca="false">E92*Assumptions!$D$40</f>
        <v>0.00296922857142857</v>
      </c>
      <c r="F115" s="24" t="n">
        <f aca="false">F92*Assumptions!$D$40</f>
        <v>0.00615137142857143</v>
      </c>
      <c r="G115" s="24" t="n">
        <f aca="false">G92*Assumptions!$D$40</f>
        <v>0.00954642857142857</v>
      </c>
      <c r="H115" s="24" t="n">
        <f aca="false">H92*Assumptions!$D$40</f>
        <v>0.0131544</v>
      </c>
      <c r="I115" s="24" t="n">
        <f aca="false">I92*Assumptions!$D$40</f>
        <v>0.0158436</v>
      </c>
      <c r="J115" s="24" t="n">
        <f aca="false">J92*Assumptions!$D$40</f>
        <v>0.0186747428571429</v>
      </c>
      <c r="K115" s="24" t="n">
        <f aca="false">K92*Assumptions!$D$40</f>
        <v>0.0204451714285714</v>
      </c>
      <c r="L115" s="56" t="n">
        <f aca="false">SUM(D115:K115)</f>
        <v>0.0877392</v>
      </c>
    </row>
    <row r="116" customFormat="false" ht="15" hidden="false" customHeight="false" outlineLevel="0" collapsed="false">
      <c r="A116" s="41" t="n">
        <v>104</v>
      </c>
      <c r="B116" s="21" t="s">
        <v>350</v>
      </c>
      <c r="C116" s="11" t="s">
        <v>275</v>
      </c>
      <c r="D116" s="24" t="n">
        <f aca="false">SUM(D109:D115)</f>
        <v>0.0150121789857143</v>
      </c>
      <c r="E116" s="24" t="n">
        <f aca="false">SUM(E109:E115)</f>
        <v>0.0401749380285714</v>
      </c>
      <c r="F116" s="24" t="n">
        <f aca="false">SUM(F109:F115)</f>
        <v>0.0764359088571429</v>
      </c>
      <c r="G116" s="24" t="n">
        <f aca="false">SUM(G109:G115)</f>
        <v>0.108056012785714</v>
      </c>
      <c r="H116" s="24" t="n">
        <f aca="false">SUM(H109:H115)</f>
        <v>0.1415741397</v>
      </c>
      <c r="I116" s="24" t="n">
        <f aca="false">SUM(I109:I115)</f>
        <v>0.159187301785714</v>
      </c>
      <c r="J116" s="24" t="n">
        <f aca="false">SUM(J109:J115)</f>
        <v>0.1853345923</v>
      </c>
      <c r="K116" s="24" t="n">
        <f aca="false">SUM(K109:K115)</f>
        <v>0.193828504457143</v>
      </c>
      <c r="L116" s="56" t="n">
        <f aca="false">SUM(D116:K116)</f>
        <v>0.9196035769</v>
      </c>
    </row>
    <row r="117" customFormat="false" ht="15" hidden="false" customHeight="false" outlineLevel="0" collapsed="false">
      <c r="A117" s="41" t="n">
        <v>105</v>
      </c>
      <c r="B117" s="17" t="s">
        <v>351</v>
      </c>
      <c r="C117" s="11" t="s">
        <v>275</v>
      </c>
      <c r="D117" s="56" t="n">
        <f aca="false">D108-D116</f>
        <v>-0.00843811078317143</v>
      </c>
      <c r="E117" s="56" t="n">
        <f aca="false">E108-E116</f>
        <v>-0.0196938752412286</v>
      </c>
      <c r="F117" s="56" t="n">
        <f aca="false">F108-F116</f>
        <v>-0.033953220417</v>
      </c>
      <c r="G117" s="56" t="n">
        <f aca="false">G108-G116</f>
        <v>-0.0420199884034286</v>
      </c>
      <c r="H117" s="56" t="n">
        <f aca="false">H108-H116</f>
        <v>-0.0504273668757429</v>
      </c>
      <c r="I117" s="56" t="n">
        <f aca="false">I108-I116</f>
        <v>-0.0491630733685714</v>
      </c>
      <c r="J117" s="56" t="n">
        <f aca="false">J108-J116</f>
        <v>-0.0553832094471143</v>
      </c>
      <c r="K117" s="56" t="n">
        <f aca="false">K108-K116</f>
        <v>-0.0511818082063714</v>
      </c>
      <c r="L117" s="56" t="n">
        <f aca="false">SUM(D117:K117)</f>
        <v>-0.310260652742629</v>
      </c>
    </row>
    <row r="118" customFormat="false" ht="15" hidden="false" customHeight="false" outlineLevel="0" collapsed="false">
      <c r="A118" s="46"/>
      <c r="B118" s="47" t="s">
        <v>357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</row>
    <row r="119" customFormat="false" ht="15" hidden="false" customHeight="false" outlineLevel="0" collapsed="false">
      <c r="A119" s="41" t="n">
        <v>106</v>
      </c>
      <c r="B119" s="21" t="s">
        <v>319</v>
      </c>
      <c r="C119" s="11" t="s">
        <v>316</v>
      </c>
      <c r="D119" s="48" t="n">
        <f aca="false">D10*Assumptions!$D$14</f>
        <v>0.00883571428571429</v>
      </c>
      <c r="E119" s="48" t="n">
        <f aca="false">E10*Assumptions!$D$14</f>
        <v>0.00916428571428572</v>
      </c>
      <c r="F119" s="48" t="n">
        <f aca="false">F10*Assumptions!$D$14</f>
        <v>0.00949285714285714</v>
      </c>
      <c r="G119" s="48" t="n">
        <f aca="false">G10*Assumptions!$D$14</f>
        <v>0.00982142857142857</v>
      </c>
      <c r="H119" s="48" t="n">
        <f aca="false">H10*Assumptions!$D$14</f>
        <v>0.01015</v>
      </c>
      <c r="I119" s="48" t="n">
        <f aca="false">I10*Assumptions!$D$14</f>
        <v>0.0104785714285714</v>
      </c>
      <c r="J119" s="48" t="n">
        <f aca="false">J10*Assumptions!$D$14</f>
        <v>0.0108071428571429</v>
      </c>
      <c r="K119" s="48" t="n">
        <f aca="false">K10*Assumptions!$D$14</f>
        <v>0.0111357142857143</v>
      </c>
      <c r="L119" s="49" t="n">
        <f aca="false">K119</f>
        <v>0.0111357142857143</v>
      </c>
    </row>
    <row r="120" customFormat="false" ht="15" hidden="false" customHeight="false" outlineLevel="0" collapsed="false">
      <c r="A120" s="41" t="n">
        <v>107</v>
      </c>
      <c r="B120" s="21" t="s">
        <v>320</v>
      </c>
      <c r="C120" s="11" t="s">
        <v>316</v>
      </c>
      <c r="D120" s="50" t="n">
        <f aca="false">D119*D11*Assumptions!$D$22</f>
        <v>4.41785714285714E-006</v>
      </c>
      <c r="E120" s="50" t="n">
        <f aca="false">E119*E11*Assumptions!$D$22</f>
        <v>1.37464285714286E-005</v>
      </c>
      <c r="F120" s="50" t="n">
        <f aca="false">F119*F11*Assumptions!$D$22</f>
        <v>2.84785714285714E-005</v>
      </c>
      <c r="G120" s="50" t="n">
        <f aca="false">G119*G11*Assumptions!$D$22</f>
        <v>4.41964285714286E-005</v>
      </c>
      <c r="H120" s="50" t="n">
        <f aca="false">H119*H11*Assumptions!$D$22</f>
        <v>6.09E-005</v>
      </c>
      <c r="I120" s="50" t="n">
        <f aca="false">I119*I11*Assumptions!$D$22</f>
        <v>7.335E-005</v>
      </c>
      <c r="J120" s="50" t="n">
        <f aca="false">J119*J11*Assumptions!$D$22</f>
        <v>8.64571428571429E-005</v>
      </c>
      <c r="K120" s="50" t="n">
        <f aca="false">K119*K11*Assumptions!$D$22</f>
        <v>9.46535714285714E-005</v>
      </c>
      <c r="L120" s="51" t="n">
        <f aca="false">K120</f>
        <v>9.46535714285714E-005</v>
      </c>
    </row>
    <row r="121" customFormat="false" ht="15" hidden="false" customHeight="false" outlineLevel="0" collapsed="false">
      <c r="A121" s="41" t="n">
        <v>108</v>
      </c>
      <c r="B121" s="21" t="s">
        <v>321</v>
      </c>
      <c r="C121" s="11" t="s">
        <v>316</v>
      </c>
      <c r="D121" s="50" t="n">
        <f aca="false">MAX(0,D120-N(C120))</f>
        <v>4.41785714285714E-006</v>
      </c>
      <c r="E121" s="50" t="n">
        <f aca="false">MAX(0,E120-N(D120))</f>
        <v>9.32857142857143E-006</v>
      </c>
      <c r="F121" s="50" t="n">
        <f aca="false">MAX(0,F120-N(E120))</f>
        <v>1.47321428571429E-005</v>
      </c>
      <c r="G121" s="50" t="n">
        <f aca="false">MAX(0,G120-N(F120))</f>
        <v>1.57178571428572E-005</v>
      </c>
      <c r="H121" s="50" t="n">
        <f aca="false">MAX(0,H120-N(G120))</f>
        <v>1.67035714285714E-005</v>
      </c>
      <c r="I121" s="50" t="n">
        <f aca="false">MAX(0,I120-N(H120))</f>
        <v>1.245E-005</v>
      </c>
      <c r="J121" s="50" t="n">
        <f aca="false">MAX(0,J120-N(I120))</f>
        <v>1.31071428571429E-005</v>
      </c>
      <c r="K121" s="50" t="n">
        <f aca="false">MAX(0,K120-N(J120))</f>
        <v>8.19642857142858E-006</v>
      </c>
      <c r="L121" s="52" t="n">
        <f aca="false">SUM(D121:K121)</f>
        <v>9.46535714285714E-005</v>
      </c>
    </row>
    <row r="122" customFormat="false" ht="15" hidden="false" customHeight="false" outlineLevel="0" collapsed="false">
      <c r="A122" s="41" t="n">
        <v>109</v>
      </c>
      <c r="B122" s="21" t="s">
        <v>322</v>
      </c>
      <c r="C122" s="11" t="s">
        <v>316</v>
      </c>
      <c r="D122" s="50" t="n">
        <f aca="false">D120*Assumptions!$D$17</f>
        <v>0.000265071428571429</v>
      </c>
      <c r="E122" s="50" t="n">
        <f aca="false">E120*Assumptions!$D$17</f>
        <v>0.000824785714285714</v>
      </c>
      <c r="F122" s="50" t="n">
        <f aca="false">F120*Assumptions!$D$17</f>
        <v>0.00170871428571429</v>
      </c>
      <c r="G122" s="50" t="n">
        <f aca="false">G120*Assumptions!$D$17</f>
        <v>0.00265178571428572</v>
      </c>
      <c r="H122" s="50" t="n">
        <f aca="false">H120*Assumptions!$D$17</f>
        <v>0.003654</v>
      </c>
      <c r="I122" s="50" t="n">
        <f aca="false">I120*Assumptions!$D$17</f>
        <v>0.004401</v>
      </c>
      <c r="J122" s="50" t="n">
        <f aca="false">J120*Assumptions!$D$17</f>
        <v>0.00518742857142857</v>
      </c>
      <c r="K122" s="50" t="n">
        <f aca="false">K120*Assumptions!$D$17</f>
        <v>0.00567921428571429</v>
      </c>
      <c r="L122" s="51" t="n">
        <f aca="false">K122</f>
        <v>0.00567921428571429</v>
      </c>
    </row>
    <row r="123" customFormat="false" ht="15" hidden="false" customHeight="false" outlineLevel="0" collapsed="false">
      <c r="A123" s="41" t="n">
        <v>110</v>
      </c>
      <c r="B123" s="21" t="s">
        <v>323</v>
      </c>
      <c r="C123" s="11" t="s">
        <v>316</v>
      </c>
      <c r="D123" s="50" t="n">
        <f aca="false">N(C123)+D120*Assumptions!$D$23/100/4</f>
        <v>1.10446428571429E-008</v>
      </c>
      <c r="E123" s="50" t="n">
        <f aca="false">N(D123)+E120*Assumptions!$D$23/100/4</f>
        <v>4.54107142857143E-008</v>
      </c>
      <c r="F123" s="50" t="n">
        <f aca="false">N(E123)+F120*Assumptions!$D$23/100/4</f>
        <v>1.16607142857143E-007</v>
      </c>
      <c r="G123" s="50" t="n">
        <f aca="false">N(F123)+G120*Assumptions!$D$23/100/4</f>
        <v>2.27098214285714E-007</v>
      </c>
      <c r="H123" s="50" t="n">
        <f aca="false">N(G123)+H120*Assumptions!$D$23/100/4</f>
        <v>3.79348214285714E-007</v>
      </c>
      <c r="I123" s="50" t="n">
        <f aca="false">N(H123)+I120*Assumptions!$D$23/100/4</f>
        <v>5.62723214285714E-007</v>
      </c>
      <c r="J123" s="50" t="n">
        <f aca="false">N(I123)+J120*Assumptions!$D$23/100/4</f>
        <v>7.78866071428572E-007</v>
      </c>
      <c r="K123" s="50" t="n">
        <f aca="false">N(J123)+K120*Assumptions!$D$23/100/4</f>
        <v>1.0155E-006</v>
      </c>
      <c r="L123" s="51" t="n">
        <f aca="false">K123</f>
        <v>1.0155E-006</v>
      </c>
    </row>
    <row r="124" customFormat="false" ht="15" hidden="false" customHeight="false" outlineLevel="0" collapsed="false">
      <c r="A124" s="41" t="n">
        <v>111</v>
      </c>
      <c r="B124" s="21" t="s">
        <v>324</v>
      </c>
      <c r="C124" s="11" t="s">
        <v>316</v>
      </c>
      <c r="D124" s="50" t="n">
        <f aca="false">D122+D123</f>
        <v>0.000265082473214286</v>
      </c>
      <c r="E124" s="50" t="n">
        <f aca="false">E122+E123</f>
        <v>0.000824831125</v>
      </c>
      <c r="F124" s="50" t="n">
        <f aca="false">F122+F123</f>
        <v>0.00170883089285714</v>
      </c>
      <c r="G124" s="50" t="n">
        <f aca="false">G122+G123</f>
        <v>0.0026520128125</v>
      </c>
      <c r="H124" s="50" t="n">
        <f aca="false">H122+H123</f>
        <v>0.00365437934821429</v>
      </c>
      <c r="I124" s="50" t="n">
        <f aca="false">I122+I123</f>
        <v>0.00440156272321429</v>
      </c>
      <c r="J124" s="50" t="n">
        <f aca="false">J122+J123</f>
        <v>0.0051882074375</v>
      </c>
      <c r="K124" s="50" t="n">
        <f aca="false">K122+K123</f>
        <v>0.00568022978571429</v>
      </c>
      <c r="L124" s="51" t="n">
        <f aca="false">K124</f>
        <v>0.00568022978571429</v>
      </c>
    </row>
    <row r="125" customFormat="false" ht="15" hidden="false" customHeight="false" outlineLevel="0" collapsed="false">
      <c r="A125" s="41" t="n">
        <v>112</v>
      </c>
      <c r="B125" s="21" t="s">
        <v>325</v>
      </c>
      <c r="C125" s="11" t="s">
        <v>316</v>
      </c>
      <c r="D125" s="50" t="n">
        <f aca="false">D124*Assumptions!$D$31</f>
        <v>7.95247419642857E-005</v>
      </c>
      <c r="E125" s="50" t="n">
        <f aca="false">E124*Assumptions!$D$31</f>
        <v>0.0002474493375</v>
      </c>
      <c r="F125" s="50" t="n">
        <f aca="false">F124*Assumptions!$D$31</f>
        <v>0.000512649267857143</v>
      </c>
      <c r="G125" s="50" t="n">
        <f aca="false">G124*Assumptions!$D$31</f>
        <v>0.00079560384375</v>
      </c>
      <c r="H125" s="50" t="n">
        <f aca="false">H124*Assumptions!$D$31</f>
        <v>0.00109631380446429</v>
      </c>
      <c r="I125" s="50" t="n">
        <f aca="false">I124*Assumptions!$D$31</f>
        <v>0.00132046881696429</v>
      </c>
      <c r="J125" s="50" t="n">
        <f aca="false">J124*Assumptions!$D$31</f>
        <v>0.00155646223125</v>
      </c>
      <c r="K125" s="50" t="n">
        <f aca="false">K124*Assumptions!$D$31</f>
        <v>0.00170406893571429</v>
      </c>
      <c r="L125" s="51" t="n">
        <f aca="false">K125</f>
        <v>0.00170406893571429</v>
      </c>
    </row>
    <row r="126" customFormat="false" ht="15" hidden="false" customHeight="false" outlineLevel="0" collapsed="false">
      <c r="A126" s="41" t="n">
        <v>113</v>
      </c>
      <c r="B126" s="21" t="s">
        <v>355</v>
      </c>
      <c r="C126" s="11" t="s">
        <v>47</v>
      </c>
      <c r="D126" s="34" t="n">
        <f aca="false">MAX(0,MIN(Assumptions!$D$17,10)-5)*Assumptions!$D$26+MAX(0,MIN(Assumptions!$D$17,20)-10)*Assumptions!$D$27+MAX(0,Assumptions!$D$17-20)*Assumptions!$D$28</f>
        <v>3395</v>
      </c>
      <c r="E126" s="34" t="n">
        <f aca="false">MAX(0,MIN(Assumptions!$D$17,10)-5)*Assumptions!$D$26+MAX(0,MIN(Assumptions!$D$17,20)-10)*Assumptions!$D$27+MAX(0,Assumptions!$D$17-20)*Assumptions!$D$28</f>
        <v>3395</v>
      </c>
      <c r="F126" s="34" t="n">
        <f aca="false">MAX(0,MIN(Assumptions!$D$17,10)-5)*Assumptions!$D$26+MAX(0,MIN(Assumptions!$D$17,20)-10)*Assumptions!$D$27+MAX(0,Assumptions!$D$17-20)*Assumptions!$D$28</f>
        <v>3395</v>
      </c>
      <c r="G126" s="34" t="n">
        <f aca="false">MAX(0,MIN(Assumptions!$D$17,10)-5)*Assumptions!$D$26+MAX(0,MIN(Assumptions!$D$17,20)-10)*Assumptions!$D$27+MAX(0,Assumptions!$D$17-20)*Assumptions!$D$28</f>
        <v>3395</v>
      </c>
      <c r="H126" s="34" t="n">
        <f aca="false">MAX(0,MIN(Assumptions!$D$17,10)-5)*Assumptions!$D$26+MAX(0,MIN(Assumptions!$D$17,20)-10)*Assumptions!$D$27+MAX(0,Assumptions!$D$17-20)*Assumptions!$D$28</f>
        <v>3395</v>
      </c>
      <c r="I126" s="34" t="n">
        <f aca="false">MAX(0,MIN(Assumptions!$D$17,10)-5)*Assumptions!$D$26+MAX(0,MIN(Assumptions!$D$17,20)-10)*Assumptions!$D$27+MAX(0,Assumptions!$D$17-20)*Assumptions!$D$28</f>
        <v>3395</v>
      </c>
      <c r="J126" s="34" t="n">
        <f aca="false">MAX(0,MIN(Assumptions!$D$17,10)-5)*Assumptions!$D$26+MAX(0,MIN(Assumptions!$D$17,20)-10)*Assumptions!$D$27+MAX(0,Assumptions!$D$17-20)*Assumptions!$D$28</f>
        <v>3395</v>
      </c>
      <c r="K126" s="34" t="n">
        <f aca="false">MAX(0,MIN(Assumptions!$D$17,10)-5)*Assumptions!$D$26+MAX(0,MIN(Assumptions!$D$17,20)-10)*Assumptions!$D$27+MAX(0,Assumptions!$D$17-20)*Assumptions!$D$28</f>
        <v>3395</v>
      </c>
      <c r="L126" s="57" t="n">
        <f aca="false">K126</f>
        <v>3395</v>
      </c>
    </row>
    <row r="127" customFormat="false" ht="15" hidden="false" customHeight="false" outlineLevel="0" collapsed="false">
      <c r="A127" s="41" t="n">
        <v>114</v>
      </c>
      <c r="B127" s="21" t="s">
        <v>329</v>
      </c>
      <c r="C127" s="11" t="s">
        <v>275</v>
      </c>
      <c r="D127" s="34" t="n">
        <f aca="false">D122*Assumptions!$D$7*3/100</f>
        <v>0.477128571428572</v>
      </c>
      <c r="E127" s="34" t="n">
        <f aca="false">E122*Assumptions!$D$7*3/100</f>
        <v>1.48461428571429</v>
      </c>
      <c r="F127" s="34" t="n">
        <f aca="false">F122*Assumptions!$D$7*3/100</f>
        <v>3.07568571428571</v>
      </c>
      <c r="G127" s="34" t="n">
        <f aca="false">G122*Assumptions!$D$7*3/100</f>
        <v>4.77321428571429</v>
      </c>
      <c r="H127" s="34" t="n">
        <f aca="false">H122*Assumptions!$D$7*3/100</f>
        <v>6.5772</v>
      </c>
      <c r="I127" s="34" t="n">
        <f aca="false">I122*Assumptions!$D$7*3/100</f>
        <v>7.9218</v>
      </c>
      <c r="J127" s="34" t="n">
        <f aca="false">J122*Assumptions!$D$7*3/100</f>
        <v>9.33737142857143</v>
      </c>
      <c r="K127" s="34" t="n">
        <f aca="false">K122*Assumptions!$D$7*3/100</f>
        <v>10.2225857142857</v>
      </c>
      <c r="L127" s="55" t="n">
        <f aca="false">SUM(D127:K127)</f>
        <v>43.8696</v>
      </c>
    </row>
    <row r="128" customFormat="false" ht="15" hidden="false" customHeight="false" outlineLevel="0" collapsed="false">
      <c r="A128" s="41" t="n">
        <v>115</v>
      </c>
      <c r="B128" s="21" t="s">
        <v>330</v>
      </c>
      <c r="C128" s="11" t="s">
        <v>275</v>
      </c>
      <c r="D128" s="53" t="n">
        <f aca="false">D127*Assumptions!$D$42</f>
        <v>0.00477128571428572</v>
      </c>
      <c r="E128" s="53" t="n">
        <f aca="false">E127*Assumptions!$D$42</f>
        <v>0.0148461428571429</v>
      </c>
      <c r="F128" s="53" t="n">
        <f aca="false">F127*Assumptions!$D$42</f>
        <v>0.0307568571428571</v>
      </c>
      <c r="G128" s="53" t="n">
        <f aca="false">G127*Assumptions!$D$42</f>
        <v>0.0477321428571429</v>
      </c>
      <c r="H128" s="53" t="n">
        <f aca="false">H127*Assumptions!$D$42</f>
        <v>0.065772</v>
      </c>
      <c r="I128" s="53" t="n">
        <f aca="false">I127*Assumptions!$D$42</f>
        <v>0.079218</v>
      </c>
      <c r="J128" s="53" t="n">
        <f aca="false">J127*Assumptions!$D$42</f>
        <v>0.0933737142857143</v>
      </c>
      <c r="K128" s="53" t="n">
        <f aca="false">K127*Assumptions!$D$42</f>
        <v>0.102225857142857</v>
      </c>
      <c r="L128" s="54" t="n">
        <f aca="false">SUM(D128:K128)</f>
        <v>0.438696</v>
      </c>
    </row>
    <row r="129" customFormat="false" ht="15" hidden="false" customHeight="false" outlineLevel="0" collapsed="false">
      <c r="A129" s="41" t="n">
        <v>116</v>
      </c>
      <c r="B129" s="21" t="s">
        <v>353</v>
      </c>
      <c r="C129" s="11" t="s">
        <v>275</v>
      </c>
      <c r="D129" s="53" t="n">
        <f aca="false">D127*Assumptions!$D$43</f>
        <v>0.00477128571428572</v>
      </c>
      <c r="E129" s="53" t="n">
        <f aca="false">E127*Assumptions!$D$43</f>
        <v>0.0148461428571429</v>
      </c>
      <c r="F129" s="53" t="n">
        <f aca="false">F127*Assumptions!$D$43</f>
        <v>0.0307568571428571</v>
      </c>
      <c r="G129" s="53" t="n">
        <f aca="false">G127*Assumptions!$D$43</f>
        <v>0.0477321428571429</v>
      </c>
      <c r="H129" s="53" t="n">
        <f aca="false">H127*Assumptions!$D$43</f>
        <v>0.065772</v>
      </c>
      <c r="I129" s="53" t="n">
        <f aca="false">I127*Assumptions!$D$43</f>
        <v>0.079218</v>
      </c>
      <c r="J129" s="53" t="n">
        <f aca="false">J127*Assumptions!$D$43</f>
        <v>0.0933737142857143</v>
      </c>
      <c r="K129" s="53" t="n">
        <f aca="false">K127*Assumptions!$D$43</f>
        <v>0.102225857142857</v>
      </c>
      <c r="L129" s="54" t="n">
        <f aca="false">SUM(D129:K129)</f>
        <v>0.438696</v>
      </c>
    </row>
    <row r="130" customFormat="false" ht="15" hidden="false" customHeight="false" outlineLevel="0" collapsed="false">
      <c r="A130" s="41" t="n">
        <v>117</v>
      </c>
      <c r="B130" s="21" t="s">
        <v>331</v>
      </c>
      <c r="C130" s="11" t="s">
        <v>275</v>
      </c>
      <c r="D130" s="53" t="n">
        <f aca="false">D125*Assumptions!$D$7*3/100*Assumptions!$D$44</f>
        <v>0.000715722677678572</v>
      </c>
      <c r="E130" s="53" t="n">
        <f aca="false">E125*Assumptions!$D$7*3/100*Assumptions!$D$44</f>
        <v>0.0022270440375</v>
      </c>
      <c r="F130" s="53" t="n">
        <f aca="false">F125*Assumptions!$D$7*3/100*Assumptions!$D$44</f>
        <v>0.00461384341071429</v>
      </c>
      <c r="G130" s="53" t="n">
        <f aca="false">G125*Assumptions!$D$7*3/100*Assumptions!$D$44</f>
        <v>0.00716043459375</v>
      </c>
      <c r="H130" s="53" t="n">
        <f aca="false">H125*Assumptions!$D$7*3/100*Assumptions!$D$44</f>
        <v>0.00986682424017858</v>
      </c>
      <c r="I130" s="53" t="n">
        <f aca="false">I125*Assumptions!$D$7*3/100*Assumptions!$D$44</f>
        <v>0.0118842193526786</v>
      </c>
      <c r="J130" s="53" t="n">
        <f aca="false">J125*Assumptions!$D$7*3/100*Assumptions!$D$44</f>
        <v>0.01400816008125</v>
      </c>
      <c r="K130" s="53" t="n">
        <f aca="false">K125*Assumptions!$D$7*3/100*Assumptions!$D$44</f>
        <v>0.0153366204214286</v>
      </c>
      <c r="L130" s="54" t="n">
        <f aca="false">SUM(D130:K130)</f>
        <v>0.0658128688151786</v>
      </c>
    </row>
    <row r="131" customFormat="false" ht="15" hidden="false" customHeight="false" outlineLevel="0" collapsed="false">
      <c r="A131" s="41" t="n">
        <v>118</v>
      </c>
      <c r="B131" s="21" t="s">
        <v>332</v>
      </c>
      <c r="C131" s="11" t="s">
        <v>316</v>
      </c>
      <c r="D131" s="50" t="n">
        <f aca="false">N(C131)+D124*Assumptions!$D$45/4</f>
        <v>6.62706183035714E-007</v>
      </c>
      <c r="E131" s="50" t="n">
        <f aca="false">N(D131)+E124*Assumptions!$D$45/4</f>
        <v>2.72478399553571E-006</v>
      </c>
      <c r="F131" s="50" t="n">
        <f aca="false">N(E131)+F124*Assumptions!$D$45/4</f>
        <v>6.99686122767857E-006</v>
      </c>
      <c r="G131" s="50" t="n">
        <f aca="false">N(F131)+G124*Assumptions!$D$45/4</f>
        <v>1.36268932589286E-005</v>
      </c>
      <c r="H131" s="50" t="n">
        <f aca="false">N(G131)+H124*Assumptions!$D$45/4</f>
        <v>2.27628416294643E-005</v>
      </c>
      <c r="I131" s="50" t="n">
        <f aca="false">N(H131)+I124*Assumptions!$D$45/4</f>
        <v>3.37667484375E-005</v>
      </c>
      <c r="J131" s="50" t="n">
        <f aca="false">N(I131)+J124*Assumptions!$D$45/4</f>
        <v>4.673726703125E-005</v>
      </c>
      <c r="K131" s="50" t="n">
        <f aca="false">N(J131)+K124*Assumptions!$D$45/4</f>
        <v>6.09378414955357E-005</v>
      </c>
      <c r="L131" s="51" t="n">
        <f aca="false">K131</f>
        <v>6.09378414955357E-005</v>
      </c>
    </row>
    <row r="132" customFormat="false" ht="15" hidden="false" customHeight="false" outlineLevel="0" collapsed="false">
      <c r="A132" s="41" t="n">
        <v>119</v>
      </c>
      <c r="B132" s="21" t="s">
        <v>333</v>
      </c>
      <c r="C132" s="11" t="s">
        <v>275</v>
      </c>
      <c r="D132" s="53" t="n">
        <f aca="false">D131*Assumptions!$D$7*3/100</f>
        <v>0.00119287112946429</v>
      </c>
      <c r="E132" s="53" t="n">
        <f aca="false">E131*Assumptions!$D$7*3/100</f>
        <v>0.00490461119196429</v>
      </c>
      <c r="F132" s="53" t="n">
        <f aca="false">F131*Assumptions!$D$7*3/100</f>
        <v>0.0125943502098214</v>
      </c>
      <c r="G132" s="53" t="n">
        <f aca="false">G131*Assumptions!$D$7*3/100</f>
        <v>0.0245284078660714</v>
      </c>
      <c r="H132" s="53" t="n">
        <f aca="false">H131*Assumptions!$D$7*3/100</f>
        <v>0.0409731149330357</v>
      </c>
      <c r="I132" s="53" t="n">
        <f aca="false">I131*Assumptions!$D$7*3/100</f>
        <v>0.0607801471875</v>
      </c>
      <c r="J132" s="53" t="n">
        <f aca="false">J131*Assumptions!$D$7*3/100</f>
        <v>0.08412708065625</v>
      </c>
      <c r="K132" s="53" t="n">
        <f aca="false">K131*Assumptions!$D$7*3/100</f>
        <v>0.109688114691964</v>
      </c>
      <c r="L132" s="54" t="n">
        <f aca="false">SUM(D132:K132)</f>
        <v>0.338788697866071</v>
      </c>
    </row>
    <row r="133" customFormat="false" ht="15" hidden="false" customHeight="false" outlineLevel="0" collapsed="false">
      <c r="A133" s="41" t="n">
        <v>120</v>
      </c>
      <c r="B133" s="21" t="s">
        <v>334</v>
      </c>
      <c r="C133" s="11" t="s">
        <v>275</v>
      </c>
      <c r="D133" s="53" t="n">
        <f aca="false">D123*Assumptions!$D$7*3/100</f>
        <v>1.98803571428571E-005</v>
      </c>
      <c r="E133" s="53" t="n">
        <f aca="false">E123*Assumptions!$D$7*3/100</f>
        <v>8.17392857142857E-005</v>
      </c>
      <c r="F133" s="53" t="n">
        <f aca="false">F123*Assumptions!$D$7*3/100</f>
        <v>0.000209892857142857</v>
      </c>
      <c r="G133" s="53" t="n">
        <f aca="false">G123*Assumptions!$D$7*3/100</f>
        <v>0.000408776785714286</v>
      </c>
      <c r="H133" s="53" t="n">
        <f aca="false">H123*Assumptions!$D$7*3/100</f>
        <v>0.000682826785714286</v>
      </c>
      <c r="I133" s="53" t="n">
        <f aca="false">I123*Assumptions!$D$7*3/100</f>
        <v>0.00101290178571429</v>
      </c>
      <c r="J133" s="53" t="n">
        <f aca="false">J123*Assumptions!$D$7*3/100</f>
        <v>0.00140195892857143</v>
      </c>
      <c r="K133" s="53" t="n">
        <f aca="false">K123*Assumptions!$D$7*3/100</f>
        <v>0.0018279</v>
      </c>
      <c r="L133" s="54" t="n">
        <f aca="false">SUM(D133:K133)</f>
        <v>0.00564587678571429</v>
      </c>
    </row>
    <row r="134" customFormat="false" ht="15" hidden="false" customHeight="false" outlineLevel="0" collapsed="false">
      <c r="A134" s="41" t="n">
        <v>121</v>
      </c>
      <c r="B134" s="21" t="s">
        <v>335</v>
      </c>
      <c r="C134" s="11" t="s">
        <v>275</v>
      </c>
      <c r="D134" s="53" t="n">
        <f aca="false">D128+D130+D132+D133+D129</f>
        <v>0.0114710455928571</v>
      </c>
      <c r="E134" s="53" t="n">
        <f aca="false">E128+E130+E132+E133+E129</f>
        <v>0.0369056802294643</v>
      </c>
      <c r="F134" s="53" t="n">
        <f aca="false">F128+F130+F132+F133+F129</f>
        <v>0.0789318007633929</v>
      </c>
      <c r="G134" s="53" t="n">
        <f aca="false">G128+G130+G132+G133+G129</f>
        <v>0.127561904959821</v>
      </c>
      <c r="H134" s="53" t="n">
        <f aca="false">H128+H130+H132+H133+H129</f>
        <v>0.183066765958929</v>
      </c>
      <c r="I134" s="53" t="n">
        <f aca="false">I128+I130+I132+I133+I129</f>
        <v>0.232113268325893</v>
      </c>
      <c r="J134" s="53" t="n">
        <f aca="false">J128+J130+J132+J133+J129</f>
        <v>0.2862846282375</v>
      </c>
      <c r="K134" s="53" t="n">
        <f aca="false">K128+K130+K132+K133+K129</f>
        <v>0.331304349399107</v>
      </c>
      <c r="L134" s="54" t="n">
        <f aca="false">SUM(D134:K134)</f>
        <v>1.28763944346696</v>
      </c>
    </row>
    <row r="135" customFormat="false" ht="15" hidden="false" customHeight="false" outlineLevel="0" collapsed="false">
      <c r="A135" s="41" t="n">
        <v>122</v>
      </c>
      <c r="B135" s="21" t="s">
        <v>336</v>
      </c>
      <c r="C135" s="11" t="s">
        <v>275</v>
      </c>
      <c r="D135" s="24" t="n">
        <f aca="false">D120*Assumptions!$D$25*3/100</f>
        <v>1.97478214285714E-005</v>
      </c>
      <c r="E135" s="24" t="n">
        <f aca="false">E120*Assumptions!$D$25*3/100</f>
        <v>6.14465357142857E-005</v>
      </c>
      <c r="F135" s="24" t="n">
        <f aca="false">F120*Assumptions!$D$25*3/100</f>
        <v>0.000127299214285714</v>
      </c>
      <c r="G135" s="24" t="n">
        <f aca="false">G120*Assumptions!$D$25*3/100</f>
        <v>0.000197558035714286</v>
      </c>
      <c r="H135" s="24" t="n">
        <f aca="false">H120*Assumptions!$D$25*3/100</f>
        <v>0.000272223</v>
      </c>
      <c r="I135" s="24" t="n">
        <f aca="false">I120*Assumptions!$D$25*3/100</f>
        <v>0.0003278745</v>
      </c>
      <c r="J135" s="24" t="n">
        <f aca="false">J120*Assumptions!$D$25*3/100</f>
        <v>0.000386463428571429</v>
      </c>
      <c r="K135" s="24" t="n">
        <f aca="false">K120*Assumptions!$D$25*3/100</f>
        <v>0.000423101464285714</v>
      </c>
      <c r="L135" s="56" t="n">
        <f aca="false">SUM(D135:K135)</f>
        <v>0.001815714</v>
      </c>
    </row>
    <row r="136" customFormat="false" ht="15" hidden="false" customHeight="false" outlineLevel="0" collapsed="false">
      <c r="A136" s="41" t="n">
        <v>123</v>
      </c>
      <c r="B136" s="21" t="s">
        <v>356</v>
      </c>
      <c r="C136" s="11" t="s">
        <v>275</v>
      </c>
      <c r="D136" s="24" t="n">
        <f aca="false">D120*D126*3/100</f>
        <v>0.00044995875</v>
      </c>
      <c r="E136" s="24" t="n">
        <f aca="false">E120*E126*3/100</f>
        <v>0.00140007375</v>
      </c>
      <c r="F136" s="24" t="n">
        <f aca="false">F120*F126*3/100</f>
        <v>0.0029005425</v>
      </c>
      <c r="G136" s="24" t="n">
        <f aca="false">G120*G126*3/100</f>
        <v>0.00450140625</v>
      </c>
      <c r="H136" s="24" t="n">
        <f aca="false">H120*H126*3/100</f>
        <v>0.006202665</v>
      </c>
      <c r="I136" s="24" t="n">
        <f aca="false">I120*I126*3/100</f>
        <v>0.0074706975</v>
      </c>
      <c r="J136" s="24" t="n">
        <f aca="false">J120*J126*3/100</f>
        <v>0.00880566</v>
      </c>
      <c r="K136" s="24" t="n">
        <f aca="false">K120*K126*3/100</f>
        <v>0.00964046625</v>
      </c>
      <c r="L136" s="56" t="n">
        <f aca="false">SUM(D136:K136)</f>
        <v>0.04137147</v>
      </c>
    </row>
    <row r="137" customFormat="false" ht="15" hidden="false" customHeight="false" outlineLevel="0" collapsed="false">
      <c r="A137" s="41" t="n">
        <v>124</v>
      </c>
      <c r="B137" s="21" t="s">
        <v>337</v>
      </c>
      <c r="C137" s="11" t="s">
        <v>275</v>
      </c>
      <c r="D137" s="24" t="n">
        <f aca="false">D125*Assumptions!$D$29*3/100</f>
        <v>0.000188473638455357</v>
      </c>
      <c r="E137" s="24" t="n">
        <f aca="false">E125*Assumptions!$D$29*3/100</f>
        <v>0.000586454929875</v>
      </c>
      <c r="F137" s="24" t="n">
        <f aca="false">F125*Assumptions!$D$29*3/100</f>
        <v>0.00121497876482143</v>
      </c>
      <c r="G137" s="24" t="n">
        <f aca="false">G125*Assumptions!$D$29*3/100</f>
        <v>0.0018855811096875</v>
      </c>
      <c r="H137" s="24" t="n">
        <f aca="false">H125*Assumptions!$D$29*3/100</f>
        <v>0.00259826371658036</v>
      </c>
      <c r="I137" s="24" t="n">
        <f aca="false">I125*Assumptions!$D$29*3/100</f>
        <v>0.00312951109620536</v>
      </c>
      <c r="J137" s="24" t="n">
        <f aca="false">J125*Assumptions!$D$29*3/100</f>
        <v>0.0036888154880625</v>
      </c>
      <c r="K137" s="24" t="n">
        <f aca="false">K125*Assumptions!$D$29*3/100</f>
        <v>0.00403864337764286</v>
      </c>
      <c r="L137" s="56" t="n">
        <f aca="false">SUM(D137:K137)</f>
        <v>0.0173307221213304</v>
      </c>
    </row>
    <row r="138" customFormat="false" ht="15" hidden="false" customHeight="false" outlineLevel="0" collapsed="false">
      <c r="A138" s="41" t="n">
        <v>125</v>
      </c>
      <c r="B138" s="21" t="s">
        <v>338</v>
      </c>
      <c r="C138" s="11" t="s">
        <v>275</v>
      </c>
      <c r="D138" s="24" t="n">
        <f aca="false">D120*Assumptions!$D$33*Assumptions!$D$32*3/100</f>
        <v>1.04703214285714E-006</v>
      </c>
      <c r="E138" s="24" t="n">
        <f aca="false">E120*Assumptions!$D$33*Assumptions!$D$32*3/100</f>
        <v>3.25790357142857E-006</v>
      </c>
      <c r="F138" s="24" t="n">
        <f aca="false">F120*Assumptions!$D$33*Assumptions!$D$32*3/100</f>
        <v>6.74942142857143E-006</v>
      </c>
      <c r="G138" s="24" t="n">
        <f aca="false">G120*Assumptions!$D$33*Assumptions!$D$32*3/100</f>
        <v>1.04745535714286E-005</v>
      </c>
      <c r="H138" s="24" t="n">
        <f aca="false">H120*Assumptions!$D$33*Assumptions!$D$32*3/100</f>
        <v>1.44333E-005</v>
      </c>
      <c r="I138" s="24" t="n">
        <f aca="false">I120*Assumptions!$D$33*Assumptions!$D$32*3/100</f>
        <v>1.738395E-005</v>
      </c>
      <c r="J138" s="24" t="n">
        <f aca="false">J120*Assumptions!$D$33*Assumptions!$D$32*3/100</f>
        <v>2.04903428571429E-005</v>
      </c>
      <c r="K138" s="24" t="n">
        <f aca="false">K120*Assumptions!$D$33*Assumptions!$D$32*3/100</f>
        <v>2.24328964285714E-005</v>
      </c>
      <c r="L138" s="56" t="n">
        <f aca="false">SUM(D138:K138)</f>
        <v>9.62694E-005</v>
      </c>
    </row>
    <row r="139" customFormat="false" ht="15" hidden="false" customHeight="false" outlineLevel="0" collapsed="false">
      <c r="A139" s="41" t="n">
        <v>126</v>
      </c>
      <c r="B139" s="21" t="s">
        <v>340</v>
      </c>
      <c r="C139" s="11" t="s">
        <v>275</v>
      </c>
      <c r="D139" s="24" t="n">
        <f aca="false">D134*Assumptions!$D$6</f>
        <v>4.58841823714286E-006</v>
      </c>
      <c r="E139" s="24" t="n">
        <f aca="false">E134*Assumptions!$D$6</f>
        <v>1.47622720917857E-005</v>
      </c>
      <c r="F139" s="24" t="n">
        <f aca="false">F134*Assumptions!$D$6</f>
        <v>3.15727203053571E-005</v>
      </c>
      <c r="G139" s="24" t="n">
        <f aca="false">G134*Assumptions!$D$6</f>
        <v>5.10247619839286E-005</v>
      </c>
      <c r="H139" s="24" t="n">
        <f aca="false">H134*Assumptions!$D$6</f>
        <v>7.32267063835715E-005</v>
      </c>
      <c r="I139" s="24" t="n">
        <f aca="false">I134*Assumptions!$D$6</f>
        <v>9.28453073303571E-005</v>
      </c>
      <c r="J139" s="24" t="n">
        <f aca="false">J134*Assumptions!$D$6</f>
        <v>0.000114513851295</v>
      </c>
      <c r="K139" s="24" t="n">
        <f aca="false">K134*Assumptions!$D$6</f>
        <v>0.000132521739759643</v>
      </c>
      <c r="L139" s="56" t="n">
        <f aca="false">SUM(D139:K139)</f>
        <v>0.000515055777386786</v>
      </c>
    </row>
    <row r="140" customFormat="false" ht="15" hidden="false" customHeight="false" outlineLevel="0" collapsed="false">
      <c r="A140" s="41" t="n">
        <v>127</v>
      </c>
      <c r="B140" s="21" t="s">
        <v>341</v>
      </c>
      <c r="C140" s="11" t="s">
        <v>275</v>
      </c>
      <c r="D140" s="24" t="n">
        <f aca="false">(D131+D123)*Assumptions!$D$9*3/100</f>
        <v>1.61700198214286E-006</v>
      </c>
      <c r="E140" s="24" t="n">
        <f aca="false">(E131+E123)*Assumptions!$D$9*3/100</f>
        <v>6.64846730357143E-006</v>
      </c>
      <c r="F140" s="24" t="n">
        <f aca="false">(F131+F123)*Assumptions!$D$9*3/100</f>
        <v>1.70723240892857E-005</v>
      </c>
      <c r="G140" s="24" t="n">
        <f aca="false">(G131+G123)*Assumptions!$D$9*3/100</f>
        <v>3.32495795357143E-005</v>
      </c>
      <c r="H140" s="24" t="n">
        <f aca="false">(H131+H123)*Assumptions!$D$9*3/100</f>
        <v>5.5541255625E-005</v>
      </c>
      <c r="I140" s="24" t="n">
        <f aca="false">(I131+I123)*Assumptions!$D$9*3/100</f>
        <v>8.23907319642857E-005</v>
      </c>
      <c r="J140" s="24" t="n">
        <f aca="false">(J131+J123)*Assumptions!$D$9*3/100</f>
        <v>0.000114038719446429</v>
      </c>
      <c r="K140" s="24" t="n">
        <f aca="false">(K131+K123)*Assumptions!$D$9*3/100</f>
        <v>0.000148688019589286</v>
      </c>
      <c r="L140" s="56" t="n">
        <f aca="false">SUM(D140:K140)</f>
        <v>0.000459246099535714</v>
      </c>
    </row>
    <row r="141" customFormat="false" ht="15" hidden="false" customHeight="false" outlineLevel="0" collapsed="false">
      <c r="A141" s="41" t="n">
        <v>128</v>
      </c>
      <c r="B141" s="21" t="s">
        <v>342</v>
      </c>
      <c r="C141" s="11" t="s">
        <v>275</v>
      </c>
      <c r="D141" s="24" t="n">
        <f aca="false">SUM(D135:D140)</f>
        <v>0.000665432662246072</v>
      </c>
      <c r="E141" s="24" t="n">
        <f aca="false">SUM(E135:E140)</f>
        <v>0.00207264385855607</v>
      </c>
      <c r="F141" s="24" t="n">
        <f aca="false">SUM(F135:F140)</f>
        <v>0.00429821494493036</v>
      </c>
      <c r="G141" s="24" t="n">
        <f aca="false">SUM(G135:G140)</f>
        <v>0.00667929429049286</v>
      </c>
      <c r="H141" s="24" t="n">
        <f aca="false">SUM(H135:H140)</f>
        <v>0.00921635297858893</v>
      </c>
      <c r="I141" s="24" t="n">
        <f aca="false">SUM(I135:I140)</f>
        <v>0.0111207030855</v>
      </c>
      <c r="J141" s="24" t="n">
        <f aca="false">SUM(J135:J140)</f>
        <v>0.0131299818302325</v>
      </c>
      <c r="K141" s="24" t="n">
        <f aca="false">SUM(K135:K140)</f>
        <v>0.0144058537477061</v>
      </c>
      <c r="L141" s="56" t="n">
        <f aca="false">SUM(D141:K141)</f>
        <v>0.0615884773982529</v>
      </c>
    </row>
    <row r="142" customFormat="false" ht="15" hidden="false" customHeight="false" outlineLevel="0" collapsed="false">
      <c r="A142" s="41" t="n">
        <v>129</v>
      </c>
      <c r="B142" s="21" t="s">
        <v>343</v>
      </c>
      <c r="C142" s="11" t="s">
        <v>275</v>
      </c>
      <c r="D142" s="24" t="n">
        <f aca="false">D124*Assumptions!$D$47*3/100</f>
        <v>0.000318098967857143</v>
      </c>
      <c r="E142" s="24" t="n">
        <f aca="false">E124*Assumptions!$D$47*3/100</f>
        <v>0.00098979735</v>
      </c>
      <c r="F142" s="24" t="n">
        <f aca="false">F124*Assumptions!$D$47*3/100</f>
        <v>0.00205059707142857</v>
      </c>
      <c r="G142" s="24" t="n">
        <f aca="false">G124*Assumptions!$D$47*3/100</f>
        <v>0.003182415375</v>
      </c>
      <c r="H142" s="24" t="n">
        <f aca="false">H124*Assumptions!$D$47*3/100</f>
        <v>0.00438525521785714</v>
      </c>
      <c r="I142" s="24" t="n">
        <f aca="false">I124*Assumptions!$D$47*3/100</f>
        <v>0.00528187526785714</v>
      </c>
      <c r="J142" s="24" t="n">
        <f aca="false">J124*Assumptions!$D$47*3/100</f>
        <v>0.006225848925</v>
      </c>
      <c r="K142" s="24" t="n">
        <f aca="false">K124*Assumptions!$D$47*3/100</f>
        <v>0.00681627574285714</v>
      </c>
      <c r="L142" s="56" t="n">
        <f aca="false">SUM(D142:K142)</f>
        <v>0.0292501639178571</v>
      </c>
    </row>
    <row r="143" customFormat="false" ht="15" hidden="false" customHeight="false" outlineLevel="0" collapsed="false">
      <c r="A143" s="41" t="n">
        <v>130</v>
      </c>
      <c r="B143" s="21" t="s">
        <v>344</v>
      </c>
      <c r="C143" s="11" t="s">
        <v>275</v>
      </c>
      <c r="D143" s="24" t="n">
        <f aca="false">D125*Assumptions!$D$48*90*Assumptions!$D$49/100</f>
        <v>0.000143144535535714</v>
      </c>
      <c r="E143" s="24" t="n">
        <f aca="false">E125*Assumptions!$D$48*90*Assumptions!$D$49/100</f>
        <v>0.0004454088075</v>
      </c>
      <c r="F143" s="24" t="n">
        <f aca="false">F125*Assumptions!$D$48*90*Assumptions!$D$49/100</f>
        <v>0.000922768682142857</v>
      </c>
      <c r="G143" s="24" t="n">
        <f aca="false">G125*Assumptions!$D$48*90*Assumptions!$D$49/100</f>
        <v>0.00143208691875</v>
      </c>
      <c r="H143" s="24" t="n">
        <f aca="false">H125*Assumptions!$D$48*90*Assumptions!$D$49/100</f>
        <v>0.00197336484803572</v>
      </c>
      <c r="I143" s="24" t="n">
        <f aca="false">I125*Assumptions!$D$48*90*Assumptions!$D$49/100</f>
        <v>0.00237684387053571</v>
      </c>
      <c r="J143" s="24" t="n">
        <f aca="false">J125*Assumptions!$D$48*90*Assumptions!$D$49/100</f>
        <v>0.00280163201625</v>
      </c>
      <c r="K143" s="24" t="n">
        <f aca="false">K125*Assumptions!$D$48*90*Assumptions!$D$49/100</f>
        <v>0.00306732408428571</v>
      </c>
      <c r="L143" s="56" t="n">
        <f aca="false">SUM(D143:K143)</f>
        <v>0.0131625737630357</v>
      </c>
    </row>
    <row r="144" customFormat="false" ht="15" hidden="false" customHeight="false" outlineLevel="0" collapsed="false">
      <c r="A144" s="41" t="n">
        <v>131</v>
      </c>
      <c r="B144" s="21" t="s">
        <v>345</v>
      </c>
      <c r="C144" s="11" t="s">
        <v>275</v>
      </c>
      <c r="D144" s="24" t="n">
        <f aca="false">D120*Assumptions!$D$50*3/100</f>
        <v>3.31339285714286E-006</v>
      </c>
      <c r="E144" s="24" t="n">
        <f aca="false">E120*Assumptions!$D$50*3/100</f>
        <v>1.03098214285714E-005</v>
      </c>
      <c r="F144" s="24" t="n">
        <f aca="false">F120*Assumptions!$D$50*3/100</f>
        <v>2.13589285714286E-005</v>
      </c>
      <c r="G144" s="24" t="n">
        <f aca="false">G120*Assumptions!$D$50*3/100</f>
        <v>3.31473214285714E-005</v>
      </c>
      <c r="H144" s="24" t="n">
        <f aca="false">H120*Assumptions!$D$50*3/100</f>
        <v>4.5675E-005</v>
      </c>
      <c r="I144" s="24" t="n">
        <f aca="false">I120*Assumptions!$D$50*3/100</f>
        <v>5.50125E-005</v>
      </c>
      <c r="J144" s="24" t="n">
        <f aca="false">J120*Assumptions!$D$50*3/100</f>
        <v>6.48428571428572E-005</v>
      </c>
      <c r="K144" s="24" t="n">
        <f aca="false">K120*Assumptions!$D$50*3/100</f>
        <v>7.09901785714286E-005</v>
      </c>
      <c r="L144" s="56" t="n">
        <f aca="false">SUM(D144:K144)</f>
        <v>0.00030465</v>
      </c>
    </row>
    <row r="145" customFormat="false" ht="15" hidden="false" customHeight="false" outlineLevel="0" collapsed="false">
      <c r="A145" s="41" t="n">
        <v>132</v>
      </c>
      <c r="B145" s="21" t="s">
        <v>346</v>
      </c>
      <c r="C145" s="11" t="s">
        <v>275</v>
      </c>
      <c r="D145" s="24" t="n">
        <f aca="false">D124*Assumptions!$D$51*3/100</f>
        <v>0.000159049483928571</v>
      </c>
      <c r="E145" s="24" t="n">
        <f aca="false">E124*Assumptions!$D$51*3/100</f>
        <v>0.000494898675</v>
      </c>
      <c r="F145" s="24" t="n">
        <f aca="false">F124*Assumptions!$D$51*3/100</f>
        <v>0.00102529853571429</v>
      </c>
      <c r="G145" s="24" t="n">
        <f aca="false">G124*Assumptions!$D$51*3/100</f>
        <v>0.0015912076875</v>
      </c>
      <c r="H145" s="24" t="n">
        <f aca="false">H124*Assumptions!$D$51*3/100</f>
        <v>0.00219262760892857</v>
      </c>
      <c r="I145" s="24" t="n">
        <f aca="false">I124*Assumptions!$D$51*3/100</f>
        <v>0.00264093763392857</v>
      </c>
      <c r="J145" s="24" t="n">
        <f aca="false">J124*Assumptions!$D$51*3/100</f>
        <v>0.0031129244625</v>
      </c>
      <c r="K145" s="24" t="n">
        <f aca="false">K124*Assumptions!$D$51*3/100</f>
        <v>0.00340813787142857</v>
      </c>
      <c r="L145" s="56" t="n">
        <f aca="false">SUM(D145:K145)</f>
        <v>0.0146250819589286</v>
      </c>
    </row>
    <row r="146" customFormat="false" ht="15" hidden="false" customHeight="false" outlineLevel="0" collapsed="false">
      <c r="A146" s="41" t="n">
        <v>133</v>
      </c>
      <c r="B146" s="21" t="s">
        <v>358</v>
      </c>
      <c r="C146" s="11" t="s">
        <v>275</v>
      </c>
      <c r="D146" s="24" t="n">
        <f aca="false">D121*(Assumptions!$D$52+Assumptions!$D$53*Assumptions!$D$17+Assumptions!$D$54)/100</f>
        <v>0.00495904464285714</v>
      </c>
      <c r="E146" s="24" t="n">
        <f aca="false">E121*(Assumptions!$D$52+Assumptions!$D$53*Assumptions!$D$17+Assumptions!$D$54)/100</f>
        <v>0.0104713214285714</v>
      </c>
      <c r="F146" s="24" t="n">
        <f aca="false">F121*(Assumptions!$D$52+Assumptions!$D$53*Assumptions!$D$17+Assumptions!$D$54)/100</f>
        <v>0.0165368303571429</v>
      </c>
      <c r="G146" s="24" t="n">
        <f aca="false">G121*(Assumptions!$D$52+Assumptions!$D$53*Assumptions!$D$17+Assumptions!$D$54)/100</f>
        <v>0.0176432946428572</v>
      </c>
      <c r="H146" s="24" t="n">
        <f aca="false">H121*(Assumptions!$D$52+Assumptions!$D$53*Assumptions!$D$17+Assumptions!$D$54)/100</f>
        <v>0.0187497589285714</v>
      </c>
      <c r="I146" s="24" t="n">
        <f aca="false">I121*(Assumptions!$D$52+Assumptions!$D$53*Assumptions!$D$17+Assumptions!$D$54)/100</f>
        <v>0.013975125</v>
      </c>
      <c r="J146" s="24" t="n">
        <f aca="false">J121*(Assumptions!$D$52+Assumptions!$D$53*Assumptions!$D$17+Assumptions!$D$54)/100</f>
        <v>0.0147127678571429</v>
      </c>
      <c r="K146" s="24" t="n">
        <f aca="false">K121*(Assumptions!$D$52+Assumptions!$D$53*Assumptions!$D$17+Assumptions!$D$54)/100</f>
        <v>0.00920049107142858</v>
      </c>
      <c r="L146" s="56" t="n">
        <f aca="false">SUM(D146:K146)</f>
        <v>0.106248633928571</v>
      </c>
    </row>
    <row r="147" customFormat="false" ht="15" hidden="false" customHeight="false" outlineLevel="0" collapsed="false">
      <c r="A147" s="41" t="n">
        <v>134</v>
      </c>
      <c r="B147" s="21" t="s">
        <v>350</v>
      </c>
      <c r="C147" s="11" t="s">
        <v>275</v>
      </c>
      <c r="D147" s="24" t="n">
        <f aca="false">SUM(D142:D146)</f>
        <v>0.00558265102303572</v>
      </c>
      <c r="E147" s="24" t="n">
        <f aca="false">SUM(E142:E146)</f>
        <v>0.0124117360825</v>
      </c>
      <c r="F147" s="24" t="n">
        <f aca="false">SUM(F142:F146)</f>
        <v>0.020556853575</v>
      </c>
      <c r="G147" s="24" t="n">
        <f aca="false">SUM(G142:G146)</f>
        <v>0.0238821519455357</v>
      </c>
      <c r="H147" s="24" t="n">
        <f aca="false">SUM(H142:H146)</f>
        <v>0.0273466816033929</v>
      </c>
      <c r="I147" s="24" t="n">
        <f aca="false">SUM(I142:I146)</f>
        <v>0.0243297942723214</v>
      </c>
      <c r="J147" s="24" t="n">
        <f aca="false">SUM(J142:J146)</f>
        <v>0.0269180161180357</v>
      </c>
      <c r="K147" s="24" t="n">
        <f aca="false">SUM(K142:K146)</f>
        <v>0.0225632189485714</v>
      </c>
      <c r="L147" s="56" t="n">
        <f aca="false">SUM(D147:K147)</f>
        <v>0.163591103568393</v>
      </c>
    </row>
    <row r="148" customFormat="false" ht="15" hidden="false" customHeight="false" outlineLevel="0" collapsed="false">
      <c r="A148" s="41" t="n">
        <v>135</v>
      </c>
      <c r="B148" s="17" t="s">
        <v>351</v>
      </c>
      <c r="C148" s="11" t="s">
        <v>275</v>
      </c>
      <c r="D148" s="56" t="n">
        <f aca="false">D141-D147</f>
        <v>-0.00491721836078964</v>
      </c>
      <c r="E148" s="56" t="n">
        <f aca="false">E141-E147</f>
        <v>-0.0103390922239439</v>
      </c>
      <c r="F148" s="56" t="n">
        <f aca="false">F141-F147</f>
        <v>-0.0162586386300696</v>
      </c>
      <c r="G148" s="56" t="n">
        <f aca="false">G141-G147</f>
        <v>-0.0172028576550429</v>
      </c>
      <c r="H148" s="56" t="n">
        <f aca="false">H141-H147</f>
        <v>-0.0181303286248039</v>
      </c>
      <c r="I148" s="56" t="n">
        <f aca="false">I141-I147</f>
        <v>-0.0132090911868214</v>
      </c>
      <c r="J148" s="56" t="n">
        <f aca="false">J141-J147</f>
        <v>-0.0137880342878032</v>
      </c>
      <c r="K148" s="56" t="n">
        <f aca="false">K141-K147</f>
        <v>-0.00815736520086536</v>
      </c>
      <c r="L148" s="56" t="n">
        <f aca="false">SUM(D148:K148)</f>
        <v>-0.10200262617014</v>
      </c>
    </row>
    <row r="149" customFormat="false" ht="15" hidden="false" customHeight="false" outlineLevel="0" collapsed="false">
      <c r="A149" s="46"/>
      <c r="B149" s="47" t="s">
        <v>359</v>
      </c>
      <c r="C149" s="46"/>
      <c r="D149" s="46"/>
      <c r="E149" s="46"/>
      <c r="F149" s="46"/>
      <c r="G149" s="46"/>
      <c r="H149" s="46"/>
      <c r="I149" s="46"/>
      <c r="J149" s="46"/>
      <c r="K149" s="46"/>
      <c r="L149" s="46"/>
    </row>
    <row r="150" customFormat="false" ht="15" hidden="false" customHeight="false" outlineLevel="0" collapsed="false">
      <c r="A150" s="41" t="n">
        <v>136</v>
      </c>
      <c r="B150" s="17" t="s">
        <v>320</v>
      </c>
      <c r="C150" s="11" t="s">
        <v>316</v>
      </c>
      <c r="D150" s="52" t="n">
        <f aca="false">D14+D48+D83+D120</f>
        <v>0.0379096321428572</v>
      </c>
      <c r="E150" s="52" t="n">
        <f aca="false">E14+E48+E83+E120</f>
        <v>0.117958103571429</v>
      </c>
      <c r="F150" s="52" t="n">
        <f aca="false">F14+F48+F83+F120</f>
        <v>0.244374621428571</v>
      </c>
      <c r="G150" s="52" t="n">
        <f aca="false">G14+G48+G83+G120</f>
        <v>0.379249553571429</v>
      </c>
      <c r="H150" s="52" t="n">
        <f aca="false">H14+H48+H83+H120</f>
        <v>0.5225829</v>
      </c>
      <c r="I150" s="52" t="n">
        <f aca="false">I14+I48+I83+I120</f>
        <v>0.62941635</v>
      </c>
      <c r="J150" s="52" t="n">
        <f aca="false">J14+J48+J83+J120</f>
        <v>0.741888742857143</v>
      </c>
      <c r="K150" s="52" t="n">
        <f aca="false">K14+K48+K83+K120</f>
        <v>0.812222296428572</v>
      </c>
      <c r="L150" s="58" t="n">
        <f aca="false">K150</f>
        <v>0.812222296428572</v>
      </c>
    </row>
    <row r="151" customFormat="false" ht="15" hidden="false" customHeight="false" outlineLevel="0" collapsed="false">
      <c r="A151" s="41" t="n">
        <v>137</v>
      </c>
      <c r="B151" s="21" t="s">
        <v>321</v>
      </c>
      <c r="C151" s="11" t="s">
        <v>316</v>
      </c>
      <c r="D151" s="50" t="n">
        <f aca="false">D15+D49+D84+D121</f>
        <v>0.0379096321428572</v>
      </c>
      <c r="E151" s="50" t="n">
        <f aca="false">E15+E49+E84+E121</f>
        <v>0.0800484714285714</v>
      </c>
      <c r="F151" s="50" t="n">
        <f aca="false">F15+F49+F84+F121</f>
        <v>0.126416517857143</v>
      </c>
      <c r="G151" s="50" t="n">
        <f aca="false">G15+G49+G84+G121</f>
        <v>0.134874932142857</v>
      </c>
      <c r="H151" s="50" t="n">
        <f aca="false">H15+H49+H84+H121</f>
        <v>0.143333346428571</v>
      </c>
      <c r="I151" s="50" t="n">
        <f aca="false">I15+I49+I84+I121</f>
        <v>0.10683345</v>
      </c>
      <c r="J151" s="50" t="n">
        <f aca="false">J15+J49+J84+J121</f>
        <v>0.112472392857143</v>
      </c>
      <c r="K151" s="50" t="n">
        <f aca="false">K15+K49+K84+K121</f>
        <v>0.0703335535714287</v>
      </c>
      <c r="L151" s="52" t="n">
        <f aca="false">SUM(D151:K151)</f>
        <v>0.812222296428572</v>
      </c>
    </row>
    <row r="152" customFormat="false" ht="15" hidden="false" customHeight="false" outlineLevel="0" collapsed="false">
      <c r="A152" s="41" t="n">
        <v>138</v>
      </c>
      <c r="B152" s="17" t="s">
        <v>324</v>
      </c>
      <c r="C152" s="11" t="s">
        <v>316</v>
      </c>
      <c r="D152" s="52" t="n">
        <f aca="false">D18+D52+D87+D124</f>
        <v>0.0522254883660714</v>
      </c>
      <c r="E152" s="52" t="n">
        <f aca="false">E18+E52+E87+E124</f>
        <v>0.162597526482143</v>
      </c>
      <c r="F152" s="52" t="n">
        <f aca="false">F18+F52+F87+F124</f>
        <v>0.33704774875</v>
      </c>
      <c r="G152" s="52" t="n">
        <f aca="false">G18+G52+G87+G124</f>
        <v>0.523466586919643</v>
      </c>
      <c r="H152" s="52" t="n">
        <f aca="false">H18+H52+H87+H124</f>
        <v>0.721875187026786</v>
      </c>
      <c r="I152" s="52" t="n">
        <f aca="false">I18+I52+I87+I124</f>
        <v>0.870358727901786</v>
      </c>
      <c r="J152" s="52" t="n">
        <f aca="false">J18+J52+J87+J124</f>
        <v>1.02687773547321</v>
      </c>
      <c r="K152" s="52" t="n">
        <f aca="false">K18+K52+K87+K124</f>
        <v>1.12562614835714</v>
      </c>
      <c r="L152" s="58" t="n">
        <f aca="false">K152</f>
        <v>1.12562614835714</v>
      </c>
    </row>
    <row r="153" customFormat="false" ht="15" hidden="false" customHeight="false" outlineLevel="0" collapsed="false">
      <c r="A153" s="41" t="n">
        <v>139</v>
      </c>
      <c r="B153" s="21" t="s">
        <v>325</v>
      </c>
      <c r="C153" s="11" t="s">
        <v>316</v>
      </c>
      <c r="D153" s="50" t="n">
        <f aca="false">D19+D53+D88+D125</f>
        <v>0.00847068110803572</v>
      </c>
      <c r="E153" s="50" t="n">
        <f aca="false">E19+E53+E88+E125</f>
        <v>0.0263675191053571</v>
      </c>
      <c r="F153" s="50" t="n">
        <f aca="false">F19+F53+F88+F125</f>
        <v>0.0546471594464286</v>
      </c>
      <c r="G153" s="50" t="n">
        <f aca="false">G19+G53+G88+G125</f>
        <v>0.0848517450491072</v>
      </c>
      <c r="H153" s="50" t="n">
        <f aca="false">H19+H53+H88+H125</f>
        <v>0.116983615259821</v>
      </c>
      <c r="I153" s="50" t="n">
        <f aca="false">I19+I53+I88+I125</f>
        <v>0.140999443147321</v>
      </c>
      <c r="J153" s="50" t="n">
        <f aca="false">J19+J53+J88+J125</f>
        <v>0.166304806133036</v>
      </c>
      <c r="K153" s="50" t="n">
        <f aca="false">K19+K53+K88+K125</f>
        <v>0.182225603435714</v>
      </c>
      <c r="L153" s="51" t="n">
        <f aca="false">K153</f>
        <v>0.182225603435714</v>
      </c>
    </row>
    <row r="154" customFormat="false" ht="15" hidden="false" customHeight="false" outlineLevel="0" collapsed="false">
      <c r="A154" s="41" t="n">
        <v>140</v>
      </c>
      <c r="B154" s="17" t="s">
        <v>360</v>
      </c>
      <c r="C154" s="11" t="s">
        <v>275</v>
      </c>
      <c r="D154" s="54" t="n">
        <f aca="false">D22+D56+D92</f>
        <v>2.33395392857143</v>
      </c>
      <c r="E154" s="54" t="n">
        <f aca="false">E22+E56+E92</f>
        <v>7.26223821428572</v>
      </c>
      <c r="F154" s="54" t="n">
        <f aca="false">F22+F56+F92</f>
        <v>15.0452292857143</v>
      </c>
      <c r="G154" s="54" t="n">
        <f aca="false">G22+G56+G92</f>
        <v>23.3489732142857</v>
      </c>
      <c r="H154" s="54" t="n">
        <f aca="false">H22+H56+H92</f>
        <v>32.17347</v>
      </c>
      <c r="I154" s="54" t="n">
        <f aca="false">I22+I56+I92</f>
        <v>38.750805</v>
      </c>
      <c r="J154" s="54" t="n">
        <f aca="false">J22+J56+J92</f>
        <v>45.6753085714286</v>
      </c>
      <c r="K154" s="54" t="n">
        <f aca="false">K22+K56+K92</f>
        <v>50.0054817857143</v>
      </c>
      <c r="L154" s="54" t="n">
        <f aca="false">SUM(D154:K154)</f>
        <v>214.59546</v>
      </c>
    </row>
    <row r="155" customFormat="false" ht="15" hidden="false" customHeight="false" outlineLevel="0" collapsed="false">
      <c r="A155" s="41" t="n">
        <v>141</v>
      </c>
      <c r="B155" s="21" t="s">
        <v>330</v>
      </c>
      <c r="C155" s="11" t="s">
        <v>275</v>
      </c>
      <c r="D155" s="53" t="n">
        <f aca="false">D24+D58+D94+D128</f>
        <v>0.679908214285714</v>
      </c>
      <c r="E155" s="53" t="n">
        <f aca="false">E24+E58+E94+E128</f>
        <v>2.11557535714286</v>
      </c>
      <c r="F155" s="53" t="n">
        <f aca="false">F24+F58+F94+F128</f>
        <v>4.38285214285714</v>
      </c>
      <c r="G155" s="53" t="n">
        <f aca="false">G24+G58+G94+G128</f>
        <v>6.80183035714286</v>
      </c>
      <c r="H155" s="53" t="n">
        <f aca="false">H24+H58+H94+H128</f>
        <v>9.37251</v>
      </c>
      <c r="I155" s="53" t="n">
        <f aca="false">I24+I58+I94+I128</f>
        <v>11.288565</v>
      </c>
      <c r="J155" s="53" t="n">
        <f aca="false">J24+J58+J94+J128</f>
        <v>13.3057542857143</v>
      </c>
      <c r="K155" s="53" t="n">
        <f aca="false">K24+K58+K94+K128</f>
        <v>14.5671846428571</v>
      </c>
      <c r="L155" s="54" t="n">
        <f aca="false">SUM(D155:K155)</f>
        <v>62.51418</v>
      </c>
    </row>
    <row r="156" customFormat="false" ht="15" hidden="false" customHeight="false" outlineLevel="0" collapsed="false">
      <c r="A156" s="41" t="n">
        <v>142</v>
      </c>
      <c r="B156" s="21" t="s">
        <v>353</v>
      </c>
      <c r="C156" s="11" t="s">
        <v>275</v>
      </c>
      <c r="D156" s="53" t="n">
        <f aca="false">D59+D95+D129</f>
        <v>0.421463571428571</v>
      </c>
      <c r="E156" s="53" t="n">
        <f aca="false">E59+E95+E129</f>
        <v>1.31140928571429</v>
      </c>
      <c r="F156" s="53" t="n">
        <f aca="false">F59+F95+F129</f>
        <v>2.71685571428571</v>
      </c>
      <c r="G156" s="53" t="n">
        <f aca="false">G59+G95+G129</f>
        <v>4.21633928571429</v>
      </c>
      <c r="H156" s="53" t="n">
        <f aca="false">H59+H95+H129</f>
        <v>5.80986</v>
      </c>
      <c r="I156" s="53" t="n">
        <f aca="false">I59+I95+I129</f>
        <v>6.99759</v>
      </c>
      <c r="J156" s="53" t="n">
        <f aca="false">J59+J95+J129</f>
        <v>8.24801142857143</v>
      </c>
      <c r="K156" s="53" t="n">
        <f aca="false">K59+K95+K129</f>
        <v>9.02995071428572</v>
      </c>
      <c r="L156" s="54" t="n">
        <f aca="false">SUM(D156:K156)</f>
        <v>38.75148</v>
      </c>
    </row>
    <row r="157" customFormat="false" ht="15" hidden="false" customHeight="false" outlineLevel="0" collapsed="false">
      <c r="A157" s="41" t="n">
        <v>143</v>
      </c>
      <c r="B157" s="21" t="s">
        <v>361</v>
      </c>
      <c r="C157" s="11" t="s">
        <v>275</v>
      </c>
      <c r="D157" s="53" t="n">
        <f aca="false">D25+D60+D96+D130</f>
        <v>0.0697588611107143</v>
      </c>
      <c r="E157" s="53" t="n">
        <f aca="false">E25+E60+E96+E130</f>
        <v>0.217137106992857</v>
      </c>
      <c r="F157" s="53" t="n">
        <f aca="false">F25+F60+F96+F130</f>
        <v>0.450003986357143</v>
      </c>
      <c r="G157" s="53" t="n">
        <f aca="false">G25+G60+G96+G130</f>
        <v>0.698696297517857</v>
      </c>
      <c r="H157" s="53" t="n">
        <f aca="false">H25+H60+H96+H130</f>
        <v>0.963231490575</v>
      </c>
      <c r="I157" s="53" t="n">
        <f aca="false">I25+I60+I96+I130</f>
        <v>1.160897630625</v>
      </c>
      <c r="J157" s="53" t="n">
        <f aca="false">J25+J60+J96+J130</f>
        <v>1.36916059213929</v>
      </c>
      <c r="K157" s="53" t="n">
        <f aca="false">K25+K60+K96+K130</f>
        <v>1.50011441395714</v>
      </c>
      <c r="L157" s="54" t="n">
        <f aca="false">SUM(D157:K157)</f>
        <v>6.429000379275</v>
      </c>
    </row>
    <row r="158" customFormat="false" ht="15" hidden="false" customHeight="false" outlineLevel="0" collapsed="false">
      <c r="A158" s="41" t="n">
        <v>144</v>
      </c>
      <c r="B158" s="21" t="s">
        <v>333</v>
      </c>
      <c r="C158" s="11" t="s">
        <v>275</v>
      </c>
      <c r="D158" s="53" t="n">
        <f aca="false">D27+D62+D98+D132</f>
        <v>0.17024200903125</v>
      </c>
      <c r="E158" s="53" t="n">
        <f aca="false">E27+E62+E98+E132</f>
        <v>0.700225228647322</v>
      </c>
      <c r="F158" s="53" t="n">
        <f aca="false">F27+F62+F98+F132</f>
        <v>1.79873561141518</v>
      </c>
      <c r="G158" s="53" t="n">
        <f aca="false">G27+G62+G98+G132</f>
        <v>3.5046411733125</v>
      </c>
      <c r="H158" s="53" t="n">
        <f aca="false">H27+H62+H98+H132</f>
        <v>5.85686904729911</v>
      </c>
      <c r="I158" s="53" t="n">
        <f aca="false">I27+I62+I98+I132</f>
        <v>8.69250974584822</v>
      </c>
      <c r="J158" s="53" t="n">
        <f aca="false">J27+J62+J98+J132</f>
        <v>12.0376329248973</v>
      </c>
      <c r="K158" s="53" t="n">
        <f aca="false">K27+K62+K98+K132</f>
        <v>15.7037904228616</v>
      </c>
      <c r="L158" s="54" t="n">
        <f aca="false">SUM(D158:K158)</f>
        <v>48.4646461633125</v>
      </c>
    </row>
    <row r="159" customFormat="false" ht="15" hidden="false" customHeight="false" outlineLevel="0" collapsed="false">
      <c r="A159" s="41" t="n">
        <v>145</v>
      </c>
      <c r="B159" s="21" t="s">
        <v>334</v>
      </c>
      <c r="C159" s="11" t="s">
        <v>275</v>
      </c>
      <c r="D159" s="53" t="n">
        <f aca="false">D28+D63+D99+D133</f>
        <v>0.105982183928571</v>
      </c>
      <c r="E159" s="53" t="n">
        <f aca="false">E28+E63+E99+E133</f>
        <v>0.435752132142857</v>
      </c>
      <c r="F159" s="53" t="n">
        <f aca="false">F28+F63+F99+F133</f>
        <v>1.11893882142857</v>
      </c>
      <c r="G159" s="53" t="n">
        <f aca="false">G28+G63+G99+G133</f>
        <v>2.17918904464286</v>
      </c>
      <c r="H159" s="53" t="n">
        <f aca="false">H28+H63+H99+H133</f>
        <v>3.64014959464286</v>
      </c>
      <c r="I159" s="53" t="n">
        <f aca="false">I28+I63+I99+I133</f>
        <v>5.39977941964286</v>
      </c>
      <c r="J159" s="53" t="n">
        <f aca="false">J28+J63+J99+J133</f>
        <v>7.47384304821429</v>
      </c>
      <c r="K159" s="53" t="n">
        <f aca="false">K28+K63+K99+K133</f>
        <v>9.7445349</v>
      </c>
      <c r="L159" s="54" t="n">
        <f aca="false">SUM(D159:K159)</f>
        <v>30.0981691446429</v>
      </c>
    </row>
    <row r="160" customFormat="false" ht="15" hidden="false" customHeight="false" outlineLevel="0" collapsed="false">
      <c r="A160" s="41" t="n">
        <v>146</v>
      </c>
      <c r="B160" s="17" t="s">
        <v>335</v>
      </c>
      <c r="C160" s="11" t="s">
        <v>275</v>
      </c>
      <c r="D160" s="55" t="n">
        <f aca="false">D29+D64+D100+D134</f>
        <v>1.44735483978482</v>
      </c>
      <c r="E160" s="55" t="n">
        <f aca="false">E29+E64+E100+E134</f>
        <v>4.78009911064018</v>
      </c>
      <c r="F160" s="55" t="n">
        <f aca="false">F29+F64+F100+F134</f>
        <v>10.4673862763437</v>
      </c>
      <c r="G160" s="55" t="n">
        <f aca="false">G29+G64+G100+G134</f>
        <v>17.4006961583304</v>
      </c>
      <c r="H160" s="55" t="n">
        <f aca="false">H29+H64+H100+H134</f>
        <v>25.642620132517</v>
      </c>
      <c r="I160" s="55" t="n">
        <f aca="false">I29+I64+I100+I134</f>
        <v>33.5393417961161</v>
      </c>
      <c r="J160" s="55" t="n">
        <f aca="false">J29+J64+J100+J134</f>
        <v>42.4344022795366</v>
      </c>
      <c r="K160" s="55" t="n">
        <f aca="false">K29+K64+K100+K134</f>
        <v>50.5455750939616</v>
      </c>
      <c r="L160" s="55" t="n">
        <f aca="false">SUM(D160:K160)</f>
        <v>186.25747568723</v>
      </c>
    </row>
    <row r="161" customFormat="false" ht="15" hidden="false" customHeight="false" outlineLevel="0" collapsed="false">
      <c r="A161" s="41" t="n">
        <v>147</v>
      </c>
      <c r="B161" s="21" t="s">
        <v>335</v>
      </c>
      <c r="C161" s="11" t="s">
        <v>362</v>
      </c>
      <c r="D161" s="50" t="n">
        <f aca="false">D160/100000</f>
        <v>1.44735483978482E-005</v>
      </c>
      <c r="E161" s="50" t="n">
        <f aca="false">E160/100000</f>
        <v>4.78009911064018E-005</v>
      </c>
      <c r="F161" s="50" t="n">
        <f aca="false">F160/100000</f>
        <v>0.000104673862763438</v>
      </c>
      <c r="G161" s="50" t="n">
        <f aca="false">G160/100000</f>
        <v>0.000174006961583304</v>
      </c>
      <c r="H161" s="50" t="n">
        <f aca="false">H160/100000</f>
        <v>0.00025642620132517</v>
      </c>
      <c r="I161" s="50" t="n">
        <f aca="false">I160/100000</f>
        <v>0.000335393417961161</v>
      </c>
      <c r="J161" s="50" t="n">
        <f aca="false">J160/100000</f>
        <v>0.000424344022795366</v>
      </c>
      <c r="K161" s="50" t="n">
        <f aca="false">K160/100000</f>
        <v>0.000505455750939616</v>
      </c>
      <c r="L161" s="52" t="n">
        <f aca="false">SUM(D161:K161)</f>
        <v>0.0018625747568723</v>
      </c>
    </row>
    <row r="162" customFormat="false" ht="15" hidden="false" customHeight="false" outlineLevel="0" collapsed="false">
      <c r="A162" s="41" t="n">
        <v>148</v>
      </c>
      <c r="B162" s="21" t="s">
        <v>363</v>
      </c>
      <c r="C162" s="11" t="s">
        <v>362</v>
      </c>
      <c r="D162" s="42" t="n">
        <f aca="false">Baseline!E15</f>
        <v>7.94869047619048</v>
      </c>
      <c r="E162" s="42" t="n">
        <f aca="false">Baseline!E16</f>
        <v>8.29714285714286</v>
      </c>
      <c r="F162" s="42" t="n">
        <f aca="false">Baseline!E17</f>
        <v>8.64559523809524</v>
      </c>
      <c r="G162" s="42" t="n">
        <f aca="false">Baseline!E18</f>
        <v>8.99404761904762</v>
      </c>
      <c r="H162" s="42" t="n">
        <f aca="false">Baseline!E19</f>
        <v>9.3425</v>
      </c>
      <c r="I162" s="42" t="n">
        <f aca="false">Baseline!E20</f>
        <v>9.69095238095238</v>
      </c>
      <c r="J162" s="42" t="n">
        <f aca="false">Baseline!E21</f>
        <v>10.0394047619048</v>
      </c>
      <c r="K162" s="42" t="n">
        <f aca="false">Baseline!E22</f>
        <v>10.3878571428571</v>
      </c>
      <c r="L162" s="56" t="n">
        <f aca="false">SUM(D162:K162)</f>
        <v>73.3461904761905</v>
      </c>
    </row>
    <row r="163" customFormat="false" ht="15" hidden="false" customHeight="false" outlineLevel="0" collapsed="false">
      <c r="A163" s="41" t="n">
        <v>149</v>
      </c>
      <c r="B163" s="21" t="s">
        <v>364</v>
      </c>
      <c r="C163" s="11" t="s">
        <v>365</v>
      </c>
      <c r="D163" s="59" t="n">
        <f aca="false">IF(D162&gt;0,D161/D162,0)</f>
        <v>1.82087205951752E-006</v>
      </c>
      <c r="E163" s="59" t="n">
        <f aca="false">IF(E162&gt;0,E161/E162,0)</f>
        <v>5.7611387352757E-006</v>
      </c>
      <c r="F163" s="59" t="n">
        <f aca="false">IF(F162&gt;0,F161/F162,0)</f>
        <v>1.21071898325995E-005</v>
      </c>
      <c r="G163" s="59" t="n">
        <f aca="false">IF(G162&gt;0,G161/G162,0)</f>
        <v>1.93469024129682E-005</v>
      </c>
      <c r="H163" s="59" t="n">
        <f aca="false">IF(H162&gt;0,H161/H162,0)</f>
        <v>2.74472787075376E-005</v>
      </c>
      <c r="I163" s="59" t="n">
        <f aca="false">IF(I162&gt;0,I161/I162,0)</f>
        <v>3.46089222995645E-005</v>
      </c>
      <c r="J163" s="59" t="n">
        <f aca="false">IF(J162&gt;0,J161/J162,0)</f>
        <v>4.22678468354588E-005</v>
      </c>
      <c r="K163" s="59" t="n">
        <f aca="false">IF(K162&gt;0,K161/K162,0)</f>
        <v>4.86583271206397E-005</v>
      </c>
      <c r="L163" s="60" t="n">
        <f aca="false">IF(L162&gt;0,L161/L162,0)</f>
        <v>2.53942944381948E-005</v>
      </c>
    </row>
    <row r="164" customFormat="false" ht="15" hidden="false" customHeight="false" outlineLevel="0" collapsed="false">
      <c r="A164" s="41" t="n">
        <v>150</v>
      </c>
      <c r="B164" s="21" t="s">
        <v>336</v>
      </c>
      <c r="C164" s="11" t="s">
        <v>275</v>
      </c>
      <c r="D164" s="24" t="n">
        <f aca="false">D30+D65+D101+D135</f>
        <v>0.169456055678572</v>
      </c>
      <c r="E164" s="24" t="n">
        <f aca="false">E30+E65+E101+E135</f>
        <v>0.527272722964286</v>
      </c>
      <c r="F164" s="24" t="n">
        <f aca="false">F30+F65+F101+F135</f>
        <v>1.09235455778571</v>
      </c>
      <c r="G164" s="24" t="n">
        <f aca="false">G30+G65+G101+G135</f>
        <v>1.69524550446429</v>
      </c>
      <c r="H164" s="24" t="n">
        <f aca="false">H30+H65+H101+H135</f>
        <v>2.335945563</v>
      </c>
      <c r="I164" s="24" t="n">
        <f aca="false">I30+I65+I101+I135</f>
        <v>2.8134910845</v>
      </c>
      <c r="J164" s="24" t="n">
        <f aca="false">J30+J65+J101+J135</f>
        <v>3.31624268057143</v>
      </c>
      <c r="K164" s="24" t="n">
        <f aca="false">K30+K65+K101+K135</f>
        <v>3.63063366503572</v>
      </c>
      <c r="L164" s="56" t="n">
        <f aca="false">SUM(D164:K164)</f>
        <v>15.580641834</v>
      </c>
    </row>
    <row r="165" customFormat="false" ht="15" hidden="false" customHeight="false" outlineLevel="0" collapsed="false">
      <c r="A165" s="41" t="n">
        <v>151</v>
      </c>
      <c r="B165" s="21" t="s">
        <v>356</v>
      </c>
      <c r="C165" s="11" t="s">
        <v>275</v>
      </c>
      <c r="D165" s="24" t="n">
        <f aca="false">D102+D136</f>
        <v>0.00137240732142857</v>
      </c>
      <c r="E165" s="24" t="n">
        <f aca="false">E102+E136</f>
        <v>0.00427032803571429</v>
      </c>
      <c r="F165" s="24" t="n">
        <f aca="false">F102+F136</f>
        <v>0.00884686821428572</v>
      </c>
      <c r="G165" s="24" t="n">
        <f aca="false">G102+G136</f>
        <v>0.0137296205357143</v>
      </c>
      <c r="H165" s="24" t="n">
        <f aca="false">H102+H136</f>
        <v>0.018918585</v>
      </c>
      <c r="I165" s="24" t="n">
        <f aca="false">I102+I136</f>
        <v>0.0227861775</v>
      </c>
      <c r="J165" s="24" t="n">
        <f aca="false">J102+J136</f>
        <v>0.0268579114285714</v>
      </c>
      <c r="K165" s="24" t="n">
        <f aca="false">K102+K136</f>
        <v>0.0294041319642857</v>
      </c>
      <c r="L165" s="56" t="n">
        <f aca="false">SUM(D165:K165)</f>
        <v>0.12618603</v>
      </c>
    </row>
    <row r="166" customFormat="false" ht="15" hidden="false" customHeight="false" outlineLevel="0" collapsed="false">
      <c r="A166" s="41" t="n">
        <v>152</v>
      </c>
      <c r="B166" s="21" t="s">
        <v>337</v>
      </c>
      <c r="C166" s="11" t="s">
        <v>275</v>
      </c>
      <c r="D166" s="24" t="n">
        <f aca="false">D31+D66+D103+D137</f>
        <v>0.0200755142260446</v>
      </c>
      <c r="E166" s="24" t="n">
        <f aca="false">E31+E66+E103+E137</f>
        <v>0.0624910202796964</v>
      </c>
      <c r="F166" s="24" t="n">
        <f aca="false">F31+F66+F103+F137</f>
        <v>0.129513767888036</v>
      </c>
      <c r="G166" s="24" t="n">
        <f aca="false">G31+G66+G103+G137</f>
        <v>0.201098635766384</v>
      </c>
      <c r="H166" s="24" t="n">
        <f aca="false">H31+H66+H103+H137</f>
        <v>0.277251168165777</v>
      </c>
      <c r="I166" s="24" t="n">
        <f aca="false">I31+I66+I103+I137</f>
        <v>0.334168680259152</v>
      </c>
      <c r="J166" s="24" t="n">
        <f aca="false">J31+J66+J103+J137</f>
        <v>0.394142390535295</v>
      </c>
      <c r="K166" s="24" t="n">
        <f aca="false">K31+K66+K103+K137</f>
        <v>0.431874680142643</v>
      </c>
      <c r="L166" s="56" t="n">
        <f aca="false">SUM(D166:K166)</f>
        <v>1.85061585726303</v>
      </c>
    </row>
    <row r="167" customFormat="false" ht="15" hidden="false" customHeight="false" outlineLevel="0" collapsed="false">
      <c r="A167" s="41" t="n">
        <v>153</v>
      </c>
      <c r="B167" s="21" t="s">
        <v>338</v>
      </c>
      <c r="C167" s="11" t="s">
        <v>275</v>
      </c>
      <c r="D167" s="24" t="n">
        <f aca="false">D32+D67+D104+D138</f>
        <v>0.00898458281785715</v>
      </c>
      <c r="E167" s="24" t="n">
        <f aca="false">E32+E67+E104+E138</f>
        <v>0.0279560705464286</v>
      </c>
      <c r="F167" s="24" t="n">
        <f aca="false">F32+F67+F104+F138</f>
        <v>0.0579167852785714</v>
      </c>
      <c r="G167" s="24" t="n">
        <f aca="false">G32+G67+G104+G138</f>
        <v>0.0898821441964286</v>
      </c>
      <c r="H167" s="24" t="n">
        <f aca="false">H32+H67+H104+H138</f>
        <v>0.1238521473</v>
      </c>
      <c r="I167" s="24" t="n">
        <f aca="false">I32+I67+I104+I138</f>
        <v>0.14917167495</v>
      </c>
      <c r="J167" s="24" t="n">
        <f aca="false">J32+J67+J104+J138</f>
        <v>0.175827632057143</v>
      </c>
      <c r="K167" s="24" t="n">
        <f aca="false">K32+K67+K104+K138</f>
        <v>0.192496684253571</v>
      </c>
      <c r="L167" s="56" t="n">
        <f aca="false">SUM(D167:K167)</f>
        <v>0.8260877214</v>
      </c>
    </row>
    <row r="168" customFormat="false" ht="15" hidden="false" customHeight="false" outlineLevel="0" collapsed="false">
      <c r="A168" s="41" t="n">
        <v>154</v>
      </c>
      <c r="B168" s="21" t="s">
        <v>366</v>
      </c>
      <c r="C168" s="11" t="s">
        <v>275</v>
      </c>
      <c r="D168" s="24" t="n">
        <f aca="false">D33+D68+D105</f>
        <v>0.0350093089285714</v>
      </c>
      <c r="E168" s="24" t="n">
        <f aca="false">E33+E68+E105</f>
        <v>0.108933573214286</v>
      </c>
      <c r="F168" s="24" t="n">
        <f aca="false">F33+F68+F105</f>
        <v>0.225678439285714</v>
      </c>
      <c r="G168" s="24" t="n">
        <f aca="false">G33+G68+G105</f>
        <v>0.350234598214286</v>
      </c>
      <c r="H168" s="24" t="n">
        <f aca="false">H33+H68+H105</f>
        <v>0.48260205</v>
      </c>
      <c r="I168" s="24" t="n">
        <f aca="false">I33+I68+I105</f>
        <v>0.581262075</v>
      </c>
      <c r="J168" s="24" t="n">
        <f aca="false">J33+J68+J105</f>
        <v>0.685129628571429</v>
      </c>
      <c r="K168" s="24" t="n">
        <f aca="false">K33+K68+K105</f>
        <v>0.750082226785714</v>
      </c>
      <c r="L168" s="56" t="n">
        <f aca="false">SUM(D168:K168)</f>
        <v>3.2189319</v>
      </c>
    </row>
    <row r="169" customFormat="false" ht="15" hidden="false" customHeight="false" outlineLevel="0" collapsed="false">
      <c r="A169" s="41" t="n">
        <v>155</v>
      </c>
      <c r="B169" s="21" t="s">
        <v>340</v>
      </c>
      <c r="C169" s="11" t="s">
        <v>275</v>
      </c>
      <c r="D169" s="24" t="n">
        <f aca="false">D34+D69+D106+D139</f>
        <v>0.000578941935913929</v>
      </c>
      <c r="E169" s="24" t="n">
        <f aca="false">E34+E69+E106+E139</f>
        <v>0.00191203964425607</v>
      </c>
      <c r="F169" s="24" t="n">
        <f aca="false">F34+F69+F106+F139</f>
        <v>0.0041869545105375</v>
      </c>
      <c r="G169" s="24" t="n">
        <f aca="false">G34+G69+G106+G139</f>
        <v>0.00696027846333215</v>
      </c>
      <c r="H169" s="24" t="n">
        <f aca="false">H34+H69+H106+H139</f>
        <v>0.0102570480530068</v>
      </c>
      <c r="I169" s="24" t="n">
        <f aca="false">I34+I69+I106+I139</f>
        <v>0.0134157367184464</v>
      </c>
      <c r="J169" s="24" t="n">
        <f aca="false">J34+J69+J106+J139</f>
        <v>0.0169737609118146</v>
      </c>
      <c r="K169" s="24" t="n">
        <f aca="false">K34+K69+K106+K139</f>
        <v>0.0202182300375846</v>
      </c>
      <c r="L169" s="56" t="n">
        <f aca="false">SUM(D169:K169)</f>
        <v>0.0745029902748922</v>
      </c>
    </row>
    <row r="170" customFormat="false" ht="15" hidden="false" customHeight="false" outlineLevel="0" collapsed="false">
      <c r="A170" s="41" t="n">
        <v>156</v>
      </c>
      <c r="B170" s="21" t="s">
        <v>341</v>
      </c>
      <c r="C170" s="11" t="s">
        <v>275</v>
      </c>
      <c r="D170" s="24" t="n">
        <f aca="false">D35+D70+D107+D140</f>
        <v>0.000540810723053571</v>
      </c>
      <c r="E170" s="24" t="n">
        <f aca="false">E35+E70+E107+E140</f>
        <v>0.002224144503375</v>
      </c>
      <c r="F170" s="24" t="n">
        <f aca="false">F35+F70+F107+F140</f>
        <v>0.00571267872444643</v>
      </c>
      <c r="G170" s="24" t="n">
        <f aca="false">G35+G70+G107+G140</f>
        <v>0.0111289755673929</v>
      </c>
      <c r="H170" s="24" t="n">
        <f aca="false">H35+H70+H107+H140</f>
        <v>0.0185957240895536</v>
      </c>
      <c r="I170" s="24" t="n">
        <f aca="false">I35+I70+I107+I140</f>
        <v>0.0275943745569643</v>
      </c>
      <c r="J170" s="24" t="n">
        <f aca="false">J35+J70+J107+J140</f>
        <v>0.0382069734269464</v>
      </c>
      <c r="K170" s="24" t="n">
        <f aca="false">K35+K70+K107+K140</f>
        <v>0.0498340640956607</v>
      </c>
      <c r="L170" s="56" t="n">
        <f aca="false">SUM(D170:K170)</f>
        <v>0.153837745687393</v>
      </c>
    </row>
    <row r="171" customFormat="false" ht="15" hidden="false" customHeight="false" outlineLevel="0" collapsed="false">
      <c r="A171" s="41" t="n">
        <v>157</v>
      </c>
      <c r="B171" s="17" t="s">
        <v>342</v>
      </c>
      <c r="C171" s="11" t="s">
        <v>275</v>
      </c>
      <c r="D171" s="56" t="n">
        <f aca="false">SUM(D164:D170)</f>
        <v>0.236017621631441</v>
      </c>
      <c r="E171" s="56" t="n">
        <f aca="false">SUM(E164:E170)</f>
        <v>0.735059899188042</v>
      </c>
      <c r="F171" s="56" t="n">
        <f aca="false">SUM(F164:F170)</f>
        <v>1.52421005168731</v>
      </c>
      <c r="G171" s="56" t="n">
        <f aca="false">SUM(G164:G170)</f>
        <v>2.36827975720782</v>
      </c>
      <c r="H171" s="56" t="n">
        <f aca="false">SUM(H164:H170)</f>
        <v>3.26742228560834</v>
      </c>
      <c r="I171" s="56" t="n">
        <f aca="false">SUM(I164:I170)</f>
        <v>3.94188980348456</v>
      </c>
      <c r="J171" s="56" t="n">
        <f aca="false">SUM(J164:J170)</f>
        <v>4.65338097750263</v>
      </c>
      <c r="K171" s="56" t="n">
        <f aca="false">SUM(K164:K170)</f>
        <v>5.10454368231518</v>
      </c>
      <c r="L171" s="56" t="n">
        <f aca="false">SUM(D171:K171)</f>
        <v>21.8308040786253</v>
      </c>
    </row>
    <row r="172" customFormat="false" ht="15" hidden="false" customHeight="false" outlineLevel="0" collapsed="false">
      <c r="A172" s="41" t="n">
        <v>158</v>
      </c>
      <c r="B172" s="21" t="s">
        <v>343</v>
      </c>
      <c r="C172" s="11" t="s">
        <v>275</v>
      </c>
      <c r="D172" s="24" t="n">
        <f aca="false">D37+D72+D109+D142</f>
        <v>0.0626705860392857</v>
      </c>
      <c r="E172" s="24" t="n">
        <f aca="false">E37+E72+E109+E142</f>
        <v>0.195117031778571</v>
      </c>
      <c r="F172" s="24" t="n">
        <f aca="false">F37+F72+F109+F142</f>
        <v>0.4044572985</v>
      </c>
      <c r="G172" s="24" t="n">
        <f aca="false">G37+G72+G109+G142</f>
        <v>0.628159904303572</v>
      </c>
      <c r="H172" s="24" t="n">
        <f aca="false">H37+H72+H109+H142</f>
        <v>0.866250224432143</v>
      </c>
      <c r="I172" s="24" t="n">
        <f aca="false">I37+I72+I109+I142</f>
        <v>1.04443047348214</v>
      </c>
      <c r="J172" s="24" t="n">
        <f aca="false">J37+J72+J109+J142</f>
        <v>1.23225328256786</v>
      </c>
      <c r="K172" s="24" t="n">
        <f aca="false">K37+K72+K109+K142</f>
        <v>1.35075137802857</v>
      </c>
      <c r="L172" s="56" t="n">
        <f aca="false">SUM(D172:K172)</f>
        <v>5.78409017913214</v>
      </c>
    </row>
    <row r="173" customFormat="false" ht="15" hidden="false" customHeight="false" outlineLevel="0" collapsed="false">
      <c r="A173" s="41" t="n">
        <v>159</v>
      </c>
      <c r="B173" s="21" t="s">
        <v>344</v>
      </c>
      <c r="C173" s="11" t="s">
        <v>275</v>
      </c>
      <c r="D173" s="24" t="n">
        <f aca="false">D38+D73+D110+D143</f>
        <v>0.0152472259944643</v>
      </c>
      <c r="E173" s="24" t="n">
        <f aca="false">E38+E73+E110+E143</f>
        <v>0.0474615343896429</v>
      </c>
      <c r="F173" s="24" t="n">
        <f aca="false">F38+F73+F110+F143</f>
        <v>0.0983648870035714</v>
      </c>
      <c r="G173" s="24" t="n">
        <f aca="false">G38+G73+G110+G143</f>
        <v>0.152733141088393</v>
      </c>
      <c r="H173" s="24" t="n">
        <f aca="false">H38+H73+H110+H143</f>
        <v>0.210570507467679</v>
      </c>
      <c r="I173" s="24" t="n">
        <f aca="false">I38+I73+I110+I143</f>
        <v>0.253798997665179</v>
      </c>
      <c r="J173" s="24" t="n">
        <f aca="false">J38+J73+J110+J143</f>
        <v>0.299348651039464</v>
      </c>
      <c r="K173" s="24" t="n">
        <f aca="false">K38+K73+K110+K143</f>
        <v>0.328006086184286</v>
      </c>
      <c r="L173" s="56" t="n">
        <f aca="false">SUM(D173:K173)</f>
        <v>1.40553103083268</v>
      </c>
    </row>
    <row r="174" customFormat="false" ht="15" hidden="false" customHeight="false" outlineLevel="0" collapsed="false">
      <c r="A174" s="41" t="n">
        <v>160</v>
      </c>
      <c r="B174" s="21" t="s">
        <v>345</v>
      </c>
      <c r="C174" s="11" t="s">
        <v>275</v>
      </c>
      <c r="D174" s="24" t="n">
        <f aca="false">D39+D74+D111+D144</f>
        <v>0.0284322241071429</v>
      </c>
      <c r="E174" s="24" t="n">
        <f aca="false">E39+E74+E111+E144</f>
        <v>0.0884685776785714</v>
      </c>
      <c r="F174" s="24" t="n">
        <f aca="false">F39+F74+F111+F144</f>
        <v>0.183280966071429</v>
      </c>
      <c r="G174" s="24" t="n">
        <f aca="false">G39+G74+G111+G144</f>
        <v>0.284437165178571</v>
      </c>
      <c r="H174" s="24" t="n">
        <f aca="false">H39+H74+H111+H144</f>
        <v>0.391937175</v>
      </c>
      <c r="I174" s="24" t="n">
        <f aca="false">I39+I74+I111+I144</f>
        <v>0.4720622625</v>
      </c>
      <c r="J174" s="24" t="n">
        <f aca="false">J39+J74+J111+J144</f>
        <v>0.556416557142857</v>
      </c>
      <c r="K174" s="24" t="n">
        <f aca="false">K39+K74+K111+K144</f>
        <v>0.609166722321429</v>
      </c>
      <c r="L174" s="56" t="n">
        <f aca="false">SUM(D174:K174)</f>
        <v>2.61420165</v>
      </c>
    </row>
    <row r="175" customFormat="false" ht="15" hidden="false" customHeight="false" outlineLevel="0" collapsed="false">
      <c r="A175" s="41" t="n">
        <v>161</v>
      </c>
      <c r="B175" s="21" t="s">
        <v>346</v>
      </c>
      <c r="C175" s="11" t="s">
        <v>275</v>
      </c>
      <c r="D175" s="24" t="n">
        <f aca="false">D40+D75+D112+D145</f>
        <v>0.0313352930196429</v>
      </c>
      <c r="E175" s="24" t="n">
        <f aca="false">E40+E75+E112+E145</f>
        <v>0.0975585158892857</v>
      </c>
      <c r="F175" s="24" t="n">
        <f aca="false">F40+F75+F112+F145</f>
        <v>0.20222864925</v>
      </c>
      <c r="G175" s="24" t="n">
        <f aca="false">G40+G75+G112+G145</f>
        <v>0.314079952151786</v>
      </c>
      <c r="H175" s="24" t="n">
        <f aca="false">H40+H75+H112+H145</f>
        <v>0.433125112216071</v>
      </c>
      <c r="I175" s="24" t="n">
        <f aca="false">I40+I75+I112+I145</f>
        <v>0.522215236741071</v>
      </c>
      <c r="J175" s="24" t="n">
        <f aca="false">J40+J75+J112+J145</f>
        <v>0.616126641283929</v>
      </c>
      <c r="K175" s="24" t="n">
        <f aca="false">K40+K75+K112+K145</f>
        <v>0.675375689014286</v>
      </c>
      <c r="L175" s="56" t="n">
        <f aca="false">SUM(D175:K175)</f>
        <v>2.89204508956607</v>
      </c>
    </row>
    <row r="176" customFormat="false" ht="15" hidden="false" customHeight="false" outlineLevel="0" collapsed="false">
      <c r="A176" s="41" t="n">
        <v>162</v>
      </c>
      <c r="B176" s="21" t="s">
        <v>347</v>
      </c>
      <c r="C176" s="11" t="s">
        <v>275</v>
      </c>
      <c r="D176" s="24" t="n">
        <f aca="false">D41+D76+D113+D146</f>
        <v>0.203453366071429</v>
      </c>
      <c r="E176" s="24" t="n">
        <f aca="false">E41+E76+E113+E146</f>
        <v>0.429604035714286</v>
      </c>
      <c r="F176" s="24" t="n">
        <f aca="false">F41+F76+F113+F146</f>
        <v>0.678452008928571</v>
      </c>
      <c r="G176" s="24" t="n">
        <f aca="false">G41+G76+G113+G146</f>
        <v>0.723846616071429</v>
      </c>
      <c r="H176" s="24" t="n">
        <f aca="false">H41+H76+H113+H146</f>
        <v>0.769241223214286</v>
      </c>
      <c r="I176" s="24" t="n">
        <f aca="false">I41+I76+I113+I146</f>
        <v>0.573353624999999</v>
      </c>
      <c r="J176" s="24" t="n">
        <f aca="false">J41+J76+J113+J146</f>
        <v>0.603616696428572</v>
      </c>
      <c r="K176" s="24" t="n">
        <f aca="false">K41+K76+K113+K146</f>
        <v>0.377466026785715</v>
      </c>
      <c r="L176" s="56" t="n">
        <f aca="false">SUM(D176:K176)</f>
        <v>4.35903359821429</v>
      </c>
    </row>
    <row r="177" customFormat="false" ht="15" hidden="false" customHeight="false" outlineLevel="0" collapsed="false">
      <c r="A177" s="41" t="n">
        <v>163</v>
      </c>
      <c r="B177" s="21" t="s">
        <v>348</v>
      </c>
      <c r="C177" s="11" t="s">
        <v>275</v>
      </c>
      <c r="D177" s="24" t="n">
        <f aca="false">D42+D77+D114</f>
        <v>0.0116697696428571</v>
      </c>
      <c r="E177" s="24" t="n">
        <f aca="false">E42+E77+E114</f>
        <v>0.0363111910714286</v>
      </c>
      <c r="F177" s="24" t="n">
        <f aca="false">F42+F77+F114</f>
        <v>0.0752261464285714</v>
      </c>
      <c r="G177" s="24" t="n">
        <f aca="false">G42+G77+G114</f>
        <v>0.116744866071429</v>
      </c>
      <c r="H177" s="24" t="n">
        <f aca="false">H42+H77+H114</f>
        <v>0.16086735</v>
      </c>
      <c r="I177" s="24" t="n">
        <f aca="false">I42+I77+I114</f>
        <v>0.193754025</v>
      </c>
      <c r="J177" s="24" t="n">
        <f aca="false">J42+J77+J114</f>
        <v>0.228376542857143</v>
      </c>
      <c r="K177" s="24" t="n">
        <f aca="false">K42+K77+K114</f>
        <v>0.250027408928571</v>
      </c>
      <c r="L177" s="56" t="n">
        <f aca="false">SUM(D177:K177)</f>
        <v>1.0729773</v>
      </c>
    </row>
    <row r="178" customFormat="false" ht="15" hidden="false" customHeight="false" outlineLevel="0" collapsed="false">
      <c r="A178" s="41" t="n">
        <v>164</v>
      </c>
      <c r="B178" s="21" t="s">
        <v>349</v>
      </c>
      <c r="C178" s="11" t="s">
        <v>275</v>
      </c>
      <c r="D178" s="24" t="n">
        <f aca="false">D43+D78+D115</f>
        <v>0.0175046544642857</v>
      </c>
      <c r="E178" s="24" t="n">
        <f aca="false">E43+E78+E115</f>
        <v>0.0544667866071429</v>
      </c>
      <c r="F178" s="24" t="n">
        <f aca="false">F43+F78+F115</f>
        <v>0.112839219642857</v>
      </c>
      <c r="G178" s="24" t="n">
        <f aca="false">G43+G78+G115</f>
        <v>0.175117299107143</v>
      </c>
      <c r="H178" s="24" t="n">
        <f aca="false">H43+H78+H115</f>
        <v>0.241301025</v>
      </c>
      <c r="I178" s="24" t="n">
        <f aca="false">I43+I78+I115</f>
        <v>0.2906310375</v>
      </c>
      <c r="J178" s="24" t="n">
        <f aca="false">J43+J78+J115</f>
        <v>0.342564814285714</v>
      </c>
      <c r="K178" s="24" t="n">
        <f aca="false">K43+K78+K115</f>
        <v>0.375041113392857</v>
      </c>
      <c r="L178" s="56" t="n">
        <f aca="false">SUM(D178:K178)</f>
        <v>1.60946595</v>
      </c>
    </row>
    <row r="179" customFormat="false" ht="15" hidden="false" customHeight="false" outlineLevel="0" collapsed="false">
      <c r="A179" s="41" t="n">
        <v>165</v>
      </c>
      <c r="B179" s="21" t="s">
        <v>350</v>
      </c>
      <c r="C179" s="11" t="s">
        <v>275</v>
      </c>
      <c r="D179" s="24" t="n">
        <f aca="false">SUM(D172:D178)</f>
        <v>0.370313119339107</v>
      </c>
      <c r="E179" s="24" t="n">
        <f aca="false">SUM(E172:E178)</f>
        <v>0.948987673128929</v>
      </c>
      <c r="F179" s="24" t="n">
        <f aca="false">SUM(F172:F178)</f>
        <v>1.754849175825</v>
      </c>
      <c r="G179" s="24" t="n">
        <f aca="false">SUM(G172:G178)</f>
        <v>2.39511894397232</v>
      </c>
      <c r="H179" s="24" t="n">
        <f aca="false">SUM(H172:H178)</f>
        <v>3.07329261733018</v>
      </c>
      <c r="I179" s="24" t="n">
        <f aca="false">SUM(I172:I178)</f>
        <v>3.35024565788839</v>
      </c>
      <c r="J179" s="24" t="n">
        <f aca="false">SUM(J172:J178)</f>
        <v>3.87870318560554</v>
      </c>
      <c r="K179" s="24" t="n">
        <f aca="false">SUM(K172:K178)</f>
        <v>3.96583442465572</v>
      </c>
      <c r="L179" s="56" t="n">
        <f aca="false">SUM(D179:K179)</f>
        <v>19.7373447977452</v>
      </c>
    </row>
    <row r="180" customFormat="false" ht="15" hidden="false" customHeight="false" outlineLevel="0" collapsed="false">
      <c r="A180" s="41" t="n">
        <v>166</v>
      </c>
      <c r="B180" s="17" t="s">
        <v>367</v>
      </c>
      <c r="C180" s="11" t="s">
        <v>275</v>
      </c>
      <c r="D180" s="56" t="n">
        <f aca="false">D171-D179</f>
        <v>-0.134295497707666</v>
      </c>
      <c r="E180" s="56" t="n">
        <f aca="false">E171-E179</f>
        <v>-0.213927773940887</v>
      </c>
      <c r="F180" s="56" t="n">
        <f aca="false">F171-F179</f>
        <v>-0.230639124137695</v>
      </c>
      <c r="G180" s="56" t="n">
        <f aca="false">G171-G179</f>
        <v>-0.0268391867644988</v>
      </c>
      <c r="H180" s="56" t="n">
        <f aca="false">H171-H179</f>
        <v>0.194129668278159</v>
      </c>
      <c r="I180" s="56" t="n">
        <f aca="false">I171-I179</f>
        <v>0.59164414559617</v>
      </c>
      <c r="J180" s="56" t="n">
        <f aca="false">J171-J179</f>
        <v>0.774677791897091</v>
      </c>
      <c r="K180" s="56" t="n">
        <f aca="false">K171-K179</f>
        <v>1.13870925765946</v>
      </c>
      <c r="L180" s="56" t="n">
        <f aca="false">SUM(D180:K180)</f>
        <v>2.09345928088013</v>
      </c>
    </row>
    <row r="181" customFormat="false" ht="15" hidden="false" customHeight="false" outlineLevel="0" collapsed="false">
      <c r="A181" s="41" t="n">
        <v>167</v>
      </c>
      <c r="B181" s="17" t="s">
        <v>279</v>
      </c>
      <c r="C181" s="11" t="s">
        <v>365</v>
      </c>
      <c r="D181" s="61" t="n">
        <f aca="false">IF(D171&gt;0,D180/D171,0)</f>
        <v>-0.569006232582832</v>
      </c>
      <c r="E181" s="61" t="n">
        <f aca="false">IF(E171&gt;0,E180/E171,0)</f>
        <v>-0.291034477839418</v>
      </c>
      <c r="F181" s="61" t="n">
        <f aca="false">IF(F171&gt;0,F180/F171,0)</f>
        <v>-0.151317152043694</v>
      </c>
      <c r="G181" s="61" t="n">
        <f aca="false">IF(G171&gt;0,G180/G171,0)</f>
        <v>-0.0113327771699328</v>
      </c>
      <c r="H181" s="61" t="n">
        <f aca="false">IF(H171&gt;0,H180/H171,0)</f>
        <v>0.0594137063743555</v>
      </c>
      <c r="I181" s="61" t="n">
        <f aca="false">IF(I171&gt;0,I180/I171,0)</f>
        <v>0.15009149801021</v>
      </c>
      <c r="J181" s="61" t="n">
        <f aca="false">IF(J171&gt;0,J180/J171,0)</f>
        <v>0.166476331003709</v>
      </c>
      <c r="K181" s="61" t="n">
        <f aca="false">IF(K171&gt;0,K180/K171,0)</f>
        <v>0.223077581176266</v>
      </c>
      <c r="L181" s="61" t="n">
        <f aca="false">IF(L171&gt;0,L180/L171,0)</f>
        <v>0.0958947399894378</v>
      </c>
    </row>
    <row r="182" customFormat="false" ht="15" hidden="false" customHeight="false" outlineLevel="0" collapsed="false">
      <c r="A182" s="41" t="n">
        <v>168</v>
      </c>
      <c r="B182" s="21" t="s">
        <v>368</v>
      </c>
      <c r="C182" s="11" t="s">
        <v>365</v>
      </c>
      <c r="D182" s="23" t="n">
        <f aca="false">IF(D171&gt;0,SUM(D164:D167)/D171,0)</f>
        <v>0.84692218598848</v>
      </c>
      <c r="E182" s="23" t="n">
        <f aca="false">IF(E171&gt;0,SUM(E164:E167)/E171,0)</f>
        <v>0.846176131378116</v>
      </c>
      <c r="F182" s="23" t="n">
        <f aca="false">IF(F171&gt;0,SUM(F164:F167)/F171,0)</f>
        <v>0.845442514789932</v>
      </c>
      <c r="G182" s="23" t="n">
        <f aca="false">IF(G171&gt;0,SUM(G164:G167)/G171,0)</f>
        <v>0.844476206358635</v>
      </c>
      <c r="H182" s="23" t="n">
        <f aca="false">IF(H171&gt;0,SUM(H164:H167)/H171,0)</f>
        <v>0.843468404927239</v>
      </c>
      <c r="I182" s="23" t="n">
        <f aca="false">IF(I171&gt;0,SUM(I164:I167)/I171,0)</f>
        <v>0.842138614396239</v>
      </c>
      <c r="J182" s="23" t="n">
        <f aca="false">IF(J171&gt;0,SUM(J164:J167)/J171,0)</f>
        <v>0.840909144020377</v>
      </c>
      <c r="K182" s="23" t="n">
        <f aca="false">IF(K171&gt;0,SUM(K164:K167)/K171,0)</f>
        <v>0.839332451251159</v>
      </c>
      <c r="L182" s="61" t="n">
        <f aca="false">IF(L171&gt;0,SUM(L164:L167)/L171,0)</f>
        <v>0.842091357535587</v>
      </c>
    </row>
    <row r="183" customFormat="false" ht="15" hidden="false" customHeight="false" outlineLevel="0" collapsed="false">
      <c r="A183" s="41" t="n">
        <v>169</v>
      </c>
      <c r="B183" s="21" t="s">
        <v>369</v>
      </c>
      <c r="C183" s="11" t="s">
        <v>365</v>
      </c>
      <c r="D183" s="23" t="n">
        <f aca="false">IF(D171&gt;0,D168/D171,0)</f>
        <v>0.148333453606448</v>
      </c>
      <c r="E183" s="23" t="n">
        <f aca="false">IF(E171&gt;0,E168/E171,0)</f>
        <v>0.148196865771912</v>
      </c>
      <c r="F183" s="23" t="n">
        <f aca="false">IF(F171&gt;0,F168/F171,0)</f>
        <v>0.148062558067956</v>
      </c>
      <c r="G183" s="23" t="n">
        <f aca="false">IF(G171&gt;0,G168/G171,0)</f>
        <v>0.147885652929453</v>
      </c>
      <c r="H183" s="23" t="n">
        <f aca="false">IF(H171&gt;0,H168/H171,0)</f>
        <v>0.147701156390365</v>
      </c>
      <c r="I183" s="23" t="n">
        <f aca="false">IF(I171&gt;0,I168/I171,0)</f>
        <v>0.147457717992567</v>
      </c>
      <c r="J183" s="23" t="n">
        <f aca="false">IF(J171&gt;0,J168/J171,0)</f>
        <v>0.147232653394118</v>
      </c>
      <c r="K183" s="23" t="n">
        <f aca="false">IF(K171&gt;0,K168/K171,0)</f>
        <v>0.146944031331222</v>
      </c>
      <c r="L183" s="61" t="n">
        <f aca="false">IF(L171&gt;0,L168/L171,0)</f>
        <v>0.147449076470421</v>
      </c>
    </row>
    <row r="184" customFormat="false" ht="15" hidden="false" customHeight="false" outlineLevel="0" collapsed="false">
      <c r="A184" s="39"/>
      <c r="B184" s="40" t="s">
        <v>370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customFormat="false" ht="15" hidden="false" customHeight="false" outlineLevel="0" collapsed="false">
      <c r="A185" s="41" t="n">
        <v>170</v>
      </c>
      <c r="B185" s="17" t="s">
        <v>371</v>
      </c>
      <c r="C185" s="11" t="s">
        <v>47</v>
      </c>
      <c r="D185" s="55" t="n">
        <f aca="false">IF(D152&gt;0,(D180+D176)*100/D152/3,0)</f>
        <v>44.1405595412239</v>
      </c>
      <c r="E185" s="55" t="n">
        <f aca="false">IF(E152&gt;0,(E180+E176)*100/E152/3,0)</f>
        <v>44.2147484117448</v>
      </c>
      <c r="F185" s="55" t="n">
        <f aca="false">IF(F152&gt;0,(F180+F176)*100/F152/3,0)</f>
        <v>44.287778853458</v>
      </c>
      <c r="G185" s="55" t="n">
        <f aca="false">IF(G152&gt;0,(G180+G176)*100/G152/3,0)</f>
        <v>44.3840763812959</v>
      </c>
      <c r="H185" s="55" t="n">
        <f aca="false">IF(H152&gt;0,(H180+H176)*100/H152/3,0)</f>
        <v>44.4846472449213</v>
      </c>
      <c r="I185" s="55" t="n">
        <f aca="false">IF(I152&gt;0,(I180+I176)*100/I152/3,0)</f>
        <v>44.6175327195138</v>
      </c>
      <c r="J185" s="55" t="n">
        <f aca="false">IF(J152&gt;0,(J180+J176)*100/J152/3,0)</f>
        <v>44.7406229814531</v>
      </c>
      <c r="K185" s="55" t="n">
        <f aca="false">IF(K152&gt;0,(K180+K176)*100/K152/3,0)</f>
        <v>44.8987225660444</v>
      </c>
      <c r="L185" s="62" t="n">
        <f aca="false">K185</f>
        <v>44.8987225660444</v>
      </c>
    </row>
    <row r="186" customFormat="false" ht="15" hidden="false" customHeight="false" outlineLevel="0" collapsed="false">
      <c r="A186" s="41" t="n">
        <v>171</v>
      </c>
      <c r="B186" s="21" t="s">
        <v>372</v>
      </c>
      <c r="C186" s="11" t="s">
        <v>47</v>
      </c>
      <c r="D186" s="34" t="n">
        <f aca="false">IF(D150&gt;0,(D180+D176)*100/D150/3,0)</f>
        <v>60.809407754341</v>
      </c>
      <c r="E186" s="34" t="n">
        <f aca="false">IF(E150&gt;0,(E180+E176)*100/E150/3,0)</f>
        <v>60.9471372301827</v>
      </c>
      <c r="F186" s="34" t="n">
        <f aca="false">IF(F150&gt;0,(F180+F176)*100/F150/3,0)</f>
        <v>61.0828410594958</v>
      </c>
      <c r="G186" s="34" t="n">
        <f aca="false">IF(G150&gt;0,(G180+G176)*100/G150/3,0)</f>
        <v>61.2619863572808</v>
      </c>
      <c r="H186" s="34" t="n">
        <f aca="false">IF(H150&gt;0,(H180+H176)*100/H150/3,0)</f>
        <v>61.4493184712859</v>
      </c>
      <c r="I186" s="34" t="n">
        <f aca="false">IF(I150&gt;0,(I180+I176)*100/I150/3,0)</f>
        <v>61.6972517791639</v>
      </c>
      <c r="J186" s="34" t="n">
        <f aca="false">IF(J150&gt;0,(J180+J176)*100/J150/3,0)</f>
        <v>61.927276903974</v>
      </c>
      <c r="K186" s="34" t="n">
        <f aca="false">IF(K150&gt;0,(K180+K176)*100/K150/3,0)</f>
        <v>62.2233302020871</v>
      </c>
      <c r="L186" s="57" t="n">
        <f aca="false">K186</f>
        <v>62.2233302020871</v>
      </c>
    </row>
    <row r="187" customFormat="false" ht="15" hidden="false" customHeight="false" outlineLevel="0" collapsed="false">
      <c r="A187" s="41" t="n">
        <v>172</v>
      </c>
      <c r="B187" s="21" t="s">
        <v>373</v>
      </c>
      <c r="C187" s="11" t="s">
        <v>374</v>
      </c>
      <c r="D187" s="34" t="n">
        <f aca="false">IF(D151&gt;0,D176*100/D151,0)</f>
        <v>536.679874140543</v>
      </c>
      <c r="E187" s="34" t="n">
        <f aca="false">IF(E151&gt;0,E176*100/E151,0)</f>
        <v>536.679874140543</v>
      </c>
      <c r="F187" s="34" t="n">
        <f aca="false">IF(F151&gt;0,F176*100/F151,0)</f>
        <v>536.679874140543</v>
      </c>
      <c r="G187" s="34" t="n">
        <f aca="false">IF(G151&gt;0,G176*100/G151,0)</f>
        <v>536.679874140543</v>
      </c>
      <c r="H187" s="34" t="n">
        <f aca="false">IF(H151&gt;0,H176*100/H151,0)</f>
        <v>536.679874140543</v>
      </c>
      <c r="I187" s="34" t="n">
        <f aca="false">IF(I151&gt;0,I176*100/I151,0)</f>
        <v>536.679874140543</v>
      </c>
      <c r="J187" s="34" t="n">
        <f aca="false">IF(J151&gt;0,J176*100/J151,0)</f>
        <v>536.679874140543</v>
      </c>
      <c r="K187" s="34" t="n">
        <f aca="false">IF(K151&gt;0,K176*100/K151,0)</f>
        <v>536.679874140543</v>
      </c>
      <c r="L187" s="57" t="n">
        <f aca="false">K187</f>
        <v>536.679874140543</v>
      </c>
    </row>
    <row r="188" customFormat="false" ht="15" hidden="false" customHeight="false" outlineLevel="0" collapsed="false">
      <c r="A188" s="41" t="n">
        <v>173</v>
      </c>
      <c r="B188" s="21" t="s">
        <v>375</v>
      </c>
      <c r="C188" s="11" t="s">
        <v>376</v>
      </c>
      <c r="D188" s="53" t="n">
        <f aca="false">IF(D186&gt;0,D187/D186,"never")</f>
        <v>8.8256060034104</v>
      </c>
      <c r="E188" s="53" t="n">
        <f aca="false">IF(E186&gt;0,E187/E186,"never")</f>
        <v>8.80566173458865</v>
      </c>
      <c r="F188" s="53" t="n">
        <f aca="false">IF(F186&gt;0,F187/F186,"never")</f>
        <v>8.7860987608256</v>
      </c>
      <c r="G188" s="53" t="n">
        <f aca="false">IF(G186&gt;0,G187/G186,"never")</f>
        <v>8.7604060209641</v>
      </c>
      <c r="H188" s="53" t="n">
        <f aca="false">IF(H186&gt;0,H187/H186,"never")</f>
        <v>8.73369937196819</v>
      </c>
      <c r="I188" s="53" t="n">
        <f aca="false">IF(I186&gt;0,I187/I186,"never")</f>
        <v>8.69860259029866</v>
      </c>
      <c r="J188" s="53" t="n">
        <f aca="false">IF(J186&gt;0,J187/J186,"never")</f>
        <v>8.66629215705274</v>
      </c>
      <c r="K188" s="53" t="n">
        <f aca="false">IF(K186&gt;0,K187/K186,"never")</f>
        <v>8.62505867811205</v>
      </c>
      <c r="L188" s="63" t="n">
        <f aca="false">K188</f>
        <v>8.62505867811205</v>
      </c>
    </row>
    <row r="189" customFormat="false" ht="15" hidden="false" customHeight="false" outlineLevel="0" collapsed="false">
      <c r="A189" s="41" t="n">
        <v>174</v>
      </c>
      <c r="B189" s="21" t="s">
        <v>377</v>
      </c>
      <c r="C189" s="11" t="s">
        <v>365</v>
      </c>
      <c r="D189" s="23" t="n">
        <f aca="false">D180/Baseline!$F$29</f>
        <v>-0.000661554175899835</v>
      </c>
      <c r="E189" s="23" t="n">
        <f aca="false">E180/Baseline!$F$29</f>
        <v>-0.00105383139872358</v>
      </c>
      <c r="F189" s="23" t="n">
        <f aca="false">F180/Baseline!$F$29</f>
        <v>-0.00113615332087534</v>
      </c>
      <c r="G189" s="23" t="n">
        <f aca="false">G180/Baseline!$F$29</f>
        <v>-0.00013221274268226</v>
      </c>
      <c r="H189" s="23" t="n">
        <f aca="false">H180/Baseline!$F$29</f>
        <v>0.000956303784621474</v>
      </c>
      <c r="I189" s="23" t="n">
        <f aca="false">I180/Baseline!$F$29</f>
        <v>0.0029145031802767</v>
      </c>
      <c r="J189" s="23" t="n">
        <f aca="false">J180/Baseline!$F$29</f>
        <v>0.00381614675811375</v>
      </c>
      <c r="K189" s="23" t="n">
        <f aca="false">K180/Baseline!$F$29</f>
        <v>0.00560940521014512</v>
      </c>
      <c r="L189" s="45" t="n">
        <f aca="false">K189</f>
        <v>0.00560940521014512</v>
      </c>
    </row>
    <row r="190" customFormat="false" ht="15" hidden="false" customHeight="false" outlineLevel="0" collapsed="false">
      <c r="A190" s="41" t="n">
        <v>175</v>
      </c>
      <c r="B190" s="21" t="s">
        <v>378</v>
      </c>
      <c r="C190" s="11" t="s">
        <v>365</v>
      </c>
      <c r="D190" s="64" t="n">
        <f aca="false">D168/Baseline!$F$31</f>
        <v>4.3008979027729E-005</v>
      </c>
      <c r="E190" s="64" t="n">
        <f aca="false">E168/Baseline!$F$31</f>
        <v>0.000133825028518779</v>
      </c>
      <c r="F190" s="64" t="n">
        <f aca="false">F168/Baseline!$F$31</f>
        <v>0.00027724623990874</v>
      </c>
      <c r="G190" s="64" t="n">
        <f aca="false">G168/Baseline!$F$31</f>
        <v>0.000430263634169884</v>
      </c>
      <c r="H190" s="64" t="n">
        <f aca="false">H168/Baseline!$F$31</f>
        <v>0.000592877211302211</v>
      </c>
      <c r="I190" s="64" t="n">
        <f aca="false">I168/Baseline!$F$31</f>
        <v>0.000714081173218673</v>
      </c>
      <c r="J190" s="64" t="n">
        <f aca="false">J168/Baseline!$F$31</f>
        <v>0.00084168259038259</v>
      </c>
      <c r="K190" s="64" t="n">
        <f aca="false">K168/Baseline!$F$31</f>
        <v>0.000921476937083187</v>
      </c>
      <c r="L190" s="65" t="n">
        <f aca="false">K190</f>
        <v>0.000921476937083187</v>
      </c>
    </row>
    <row r="191" customFormat="false" ht="15" hidden="false" customHeight="false" outlineLevel="0" collapsed="false">
      <c r="A191" s="39"/>
      <c r="B191" s="40" t="s">
        <v>379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customFormat="false" ht="15" hidden="false" customHeight="false" outlineLevel="0" collapsed="false">
      <c r="A192" s="41" t="n">
        <v>176</v>
      </c>
      <c r="B192" s="21" t="s">
        <v>380</v>
      </c>
      <c r="C192" s="11" t="s">
        <v>47</v>
      </c>
      <c r="D192" s="34" t="n">
        <f aca="false">Assumptions!$D$56*Assumptions!$D$59</f>
        <v>750</v>
      </c>
      <c r="E192" s="34" t="n">
        <f aca="false">Assumptions!$D$56*Assumptions!$D$59</f>
        <v>750</v>
      </c>
      <c r="F192" s="34" t="n">
        <f aca="false">Assumptions!$D$56*Assumptions!$D$59</f>
        <v>750</v>
      </c>
      <c r="G192" s="34" t="n">
        <f aca="false">Assumptions!$D$56*Assumptions!$D$59</f>
        <v>750</v>
      </c>
      <c r="H192" s="34" t="n">
        <f aca="false">Assumptions!$D$56*Assumptions!$D$59</f>
        <v>750</v>
      </c>
      <c r="I192" s="34" t="n">
        <f aca="false">Assumptions!$D$56*Assumptions!$D$59</f>
        <v>750</v>
      </c>
      <c r="J192" s="34" t="n">
        <f aca="false">Assumptions!$D$56*Assumptions!$D$59</f>
        <v>750</v>
      </c>
      <c r="K192" s="34" t="n">
        <f aca="false">Assumptions!$D$56*Assumptions!$D$59</f>
        <v>750</v>
      </c>
      <c r="L192" s="57" t="n">
        <f aca="false">K192</f>
        <v>750</v>
      </c>
    </row>
    <row r="193" customFormat="false" ht="15" hidden="false" customHeight="false" outlineLevel="0" collapsed="false">
      <c r="A193" s="41" t="n">
        <v>177</v>
      </c>
      <c r="B193" s="21" t="s">
        <v>381</v>
      </c>
      <c r="C193" s="11" t="s">
        <v>47</v>
      </c>
      <c r="D193" s="34" t="n">
        <f aca="false">Assumptions!$D$56*Assumptions!$D$42*Assumptions!$D$58</f>
        <v>225</v>
      </c>
      <c r="E193" s="34" t="n">
        <f aca="false">Assumptions!$D$56*Assumptions!$D$42*Assumptions!$D$58</f>
        <v>225</v>
      </c>
      <c r="F193" s="34" t="n">
        <f aca="false">Assumptions!$D$56*Assumptions!$D$42*Assumptions!$D$58</f>
        <v>225</v>
      </c>
      <c r="G193" s="34" t="n">
        <f aca="false">Assumptions!$D$56*Assumptions!$D$42*Assumptions!$D$58</f>
        <v>225</v>
      </c>
      <c r="H193" s="34" t="n">
        <f aca="false">Assumptions!$D$56*Assumptions!$D$42*Assumptions!$D$58</f>
        <v>225</v>
      </c>
      <c r="I193" s="34" t="n">
        <f aca="false">Assumptions!$D$56*Assumptions!$D$42*Assumptions!$D$58</f>
        <v>225</v>
      </c>
      <c r="J193" s="34" t="n">
        <f aca="false">Assumptions!$D$56*Assumptions!$D$42*Assumptions!$D$58</f>
        <v>225</v>
      </c>
      <c r="K193" s="34" t="n">
        <f aca="false">Assumptions!$D$56*Assumptions!$D$42*Assumptions!$D$58</f>
        <v>225</v>
      </c>
      <c r="L193" s="57" t="n">
        <f aca="false">K193</f>
        <v>225</v>
      </c>
    </row>
    <row r="194" customFormat="false" ht="15" hidden="false" customHeight="false" outlineLevel="0" collapsed="false">
      <c r="A194" s="41" t="n">
        <v>178</v>
      </c>
      <c r="B194" s="21" t="s">
        <v>382</v>
      </c>
      <c r="C194" s="11" t="s">
        <v>47</v>
      </c>
      <c r="D194" s="34" t="n">
        <f aca="false">Assumptions!$D$25/Assumptions!$D$15+Assumptions!$D$29</f>
        <v>143.782608695652</v>
      </c>
      <c r="E194" s="34" t="n">
        <f aca="false">Assumptions!$D$25/Assumptions!$D$15+Assumptions!$D$29</f>
        <v>143.782608695652</v>
      </c>
      <c r="F194" s="34" t="n">
        <f aca="false">Assumptions!$D$25/Assumptions!$D$15+Assumptions!$D$29</f>
        <v>143.782608695652</v>
      </c>
      <c r="G194" s="34" t="n">
        <f aca="false">Assumptions!$D$25/Assumptions!$D$15+Assumptions!$D$29</f>
        <v>143.782608695652</v>
      </c>
      <c r="H194" s="34" t="n">
        <f aca="false">Assumptions!$D$25/Assumptions!$D$15+Assumptions!$D$29</f>
        <v>143.782608695652</v>
      </c>
      <c r="I194" s="34" t="n">
        <f aca="false">Assumptions!$D$25/Assumptions!$D$15+Assumptions!$D$29</f>
        <v>143.782608695652</v>
      </c>
      <c r="J194" s="34" t="n">
        <f aca="false">Assumptions!$D$25/Assumptions!$D$15+Assumptions!$D$29</f>
        <v>143.782608695652</v>
      </c>
      <c r="K194" s="34" t="n">
        <f aca="false">Assumptions!$D$25/Assumptions!$D$15+Assumptions!$D$29</f>
        <v>143.782608695652</v>
      </c>
      <c r="L194" s="57" t="n">
        <f aca="false">K194</f>
        <v>143.782608695652</v>
      </c>
    </row>
    <row r="195" customFormat="false" ht="15" hidden="false" customHeight="false" outlineLevel="0" collapsed="false">
      <c r="A195" s="41" t="n">
        <v>179</v>
      </c>
      <c r="B195" s="17" t="s">
        <v>383</v>
      </c>
      <c r="C195" s="11" t="s">
        <v>47</v>
      </c>
      <c r="D195" s="55" t="n">
        <f aca="false">D192+D193-D194</f>
        <v>831.217391304348</v>
      </c>
      <c r="E195" s="55" t="n">
        <f aca="false">E192+E193-E194</f>
        <v>831.217391304348</v>
      </c>
      <c r="F195" s="55" t="n">
        <f aca="false">F192+F193-F194</f>
        <v>831.217391304348</v>
      </c>
      <c r="G195" s="55" t="n">
        <f aca="false">G192+G193-G194</f>
        <v>831.217391304348</v>
      </c>
      <c r="H195" s="55" t="n">
        <f aca="false">H192+H193-H194</f>
        <v>831.217391304348</v>
      </c>
      <c r="I195" s="55" t="n">
        <f aca="false">I192+I193-I194</f>
        <v>831.217391304348</v>
      </c>
      <c r="J195" s="55" t="n">
        <f aca="false">J192+J193-J194</f>
        <v>831.217391304348</v>
      </c>
      <c r="K195" s="55" t="n">
        <f aca="false">K192+K193-K194</f>
        <v>831.217391304348</v>
      </c>
      <c r="L195" s="62" t="n">
        <f aca="false">K195</f>
        <v>831.217391304348</v>
      </c>
    </row>
    <row r="196" customFormat="false" ht="15" hidden="false" customHeight="false" outlineLevel="0" collapsed="false">
      <c r="A196" s="41" t="n">
        <v>180</v>
      </c>
      <c r="B196" s="21" t="s">
        <v>384</v>
      </c>
      <c r="C196" s="11" t="s">
        <v>385</v>
      </c>
      <c r="D196" s="53" t="n">
        <f aca="false">IF(D194&gt;0,(D192+D193)/D194,0)</f>
        <v>6.7810704566072</v>
      </c>
      <c r="E196" s="53" t="n">
        <f aca="false">IF(E194&gt;0,(E192+E193)/E194,0)</f>
        <v>6.7810704566072</v>
      </c>
      <c r="F196" s="53" t="n">
        <f aca="false">IF(F194&gt;0,(F192+F193)/F194,0)</f>
        <v>6.7810704566072</v>
      </c>
      <c r="G196" s="53" t="n">
        <f aca="false">IF(G194&gt;0,(G192+G193)/G194,0)</f>
        <v>6.7810704566072</v>
      </c>
      <c r="H196" s="53" t="n">
        <f aca="false">IF(H194&gt;0,(H192+H193)/H194,0)</f>
        <v>6.7810704566072</v>
      </c>
      <c r="I196" s="53" t="n">
        <f aca="false">IF(I194&gt;0,(I192+I193)/I194,0)</f>
        <v>6.7810704566072</v>
      </c>
      <c r="J196" s="53" t="n">
        <f aca="false">IF(J194&gt;0,(J192+J193)/J194,0)</f>
        <v>6.7810704566072</v>
      </c>
      <c r="K196" s="53" t="n">
        <f aca="false">IF(K194&gt;0,(K192+K193)/K194,0)</f>
        <v>6.7810704566072</v>
      </c>
      <c r="L196" s="63" t="n">
        <f aca="false">K196</f>
        <v>6.7810704566072</v>
      </c>
    </row>
    <row r="197" customFormat="false" ht="15" hidden="false" customHeight="false" outlineLevel="0" collapsed="false">
      <c r="A197" s="39"/>
      <c r="B197" s="40" t="s">
        <v>386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customFormat="false" ht="15" hidden="false" customHeight="false" outlineLevel="0" collapsed="false">
      <c r="A198" s="41" t="n">
        <v>181</v>
      </c>
      <c r="B198" s="21" t="s">
        <v>381</v>
      </c>
      <c r="C198" s="11" t="s">
        <v>47</v>
      </c>
      <c r="D198" s="34" t="n">
        <f aca="false">Assumptions!$D$57*Assumptions!$D$42*Assumptions!$D$58</f>
        <v>135</v>
      </c>
      <c r="E198" s="34" t="n">
        <f aca="false">Assumptions!$D$57*Assumptions!$D$42*Assumptions!$D$58</f>
        <v>135</v>
      </c>
      <c r="F198" s="34" t="n">
        <f aca="false">Assumptions!$D$57*Assumptions!$D$42*Assumptions!$D$58</f>
        <v>135</v>
      </c>
      <c r="G198" s="34" t="n">
        <f aca="false">Assumptions!$D$57*Assumptions!$D$42*Assumptions!$D$58</f>
        <v>135</v>
      </c>
      <c r="H198" s="34" t="n">
        <f aca="false">Assumptions!$D$57*Assumptions!$D$42*Assumptions!$D$58</f>
        <v>135</v>
      </c>
      <c r="I198" s="34" t="n">
        <f aca="false">Assumptions!$D$57*Assumptions!$D$42*Assumptions!$D$58</f>
        <v>135</v>
      </c>
      <c r="J198" s="34" t="n">
        <f aca="false">Assumptions!$D$57*Assumptions!$D$42*Assumptions!$D$58</f>
        <v>135</v>
      </c>
      <c r="K198" s="34" t="n">
        <f aca="false">Assumptions!$D$57*Assumptions!$D$42*Assumptions!$D$58</f>
        <v>135</v>
      </c>
      <c r="L198" s="57" t="n">
        <f aca="false">K198</f>
        <v>135</v>
      </c>
    </row>
    <row r="199" customFormat="false" ht="15" hidden="false" customHeight="false" outlineLevel="0" collapsed="false">
      <c r="A199" s="41" t="n">
        <v>182</v>
      </c>
      <c r="B199" s="21" t="s">
        <v>387</v>
      </c>
      <c r="C199" s="11" t="s">
        <v>47</v>
      </c>
      <c r="D199" s="34" t="n">
        <f aca="false">Assumptions!$D$25</f>
        <v>149</v>
      </c>
      <c r="E199" s="34" t="n">
        <f aca="false">Assumptions!$D$25</f>
        <v>149</v>
      </c>
      <c r="F199" s="34" t="n">
        <f aca="false">Assumptions!$D$25</f>
        <v>149</v>
      </c>
      <c r="G199" s="34" t="n">
        <f aca="false">Assumptions!$D$25</f>
        <v>149</v>
      </c>
      <c r="H199" s="34" t="n">
        <f aca="false">Assumptions!$D$25</f>
        <v>149</v>
      </c>
      <c r="I199" s="34" t="n">
        <f aca="false">Assumptions!$D$25</f>
        <v>149</v>
      </c>
      <c r="J199" s="34" t="n">
        <f aca="false">Assumptions!$D$25</f>
        <v>149</v>
      </c>
      <c r="K199" s="34" t="n">
        <f aca="false">Assumptions!$D$25</f>
        <v>149</v>
      </c>
      <c r="L199" s="57" t="n">
        <f aca="false">K199</f>
        <v>149</v>
      </c>
    </row>
    <row r="200" customFormat="false" ht="15" hidden="false" customHeight="false" outlineLevel="0" collapsed="false">
      <c r="A200" s="41" t="n">
        <v>183</v>
      </c>
      <c r="B200" s="21" t="s">
        <v>388</v>
      </c>
      <c r="C200" s="11" t="s">
        <v>47</v>
      </c>
      <c r="D200" s="34" t="n">
        <f aca="false">D198-D199</f>
        <v>-14</v>
      </c>
      <c r="E200" s="34" t="n">
        <f aca="false">E198-E199</f>
        <v>-14</v>
      </c>
      <c r="F200" s="34" t="n">
        <f aca="false">F198-F199</f>
        <v>-14</v>
      </c>
      <c r="G200" s="34" t="n">
        <f aca="false">G198-G199</f>
        <v>-14</v>
      </c>
      <c r="H200" s="34" t="n">
        <f aca="false">H198-H199</f>
        <v>-14</v>
      </c>
      <c r="I200" s="34" t="n">
        <f aca="false">I198-I199</f>
        <v>-14</v>
      </c>
      <c r="J200" s="34" t="n">
        <f aca="false">J198-J199</f>
        <v>-14</v>
      </c>
      <c r="K200" s="34" t="n">
        <f aca="false">K198-K199</f>
        <v>-14</v>
      </c>
      <c r="L200" s="57" t="n">
        <f aca="false">K200</f>
        <v>-14</v>
      </c>
    </row>
    <row r="204" customFormat="false" ht="15" hidden="false" customHeight="false" outlineLevel="0" collapsed="false">
      <c r="A204" s="37" t="s">
        <v>389</v>
      </c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</row>
    <row r="205" customFormat="false" ht="15" hidden="false" customHeight="false" outlineLevel="0" collapsed="false">
      <c r="A205" s="39"/>
      <c r="B205" s="40" t="s">
        <v>314</v>
      </c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customFormat="false" ht="15" hidden="false" customHeight="false" outlineLevel="0" collapsed="false">
      <c r="A206" s="41" t="n">
        <v>1</v>
      </c>
      <c r="B206" s="21" t="s">
        <v>315</v>
      </c>
      <c r="C206" s="11" t="s">
        <v>316</v>
      </c>
      <c r="D206" s="42" t="n">
        <f aca="false">Baseline!H15*100</f>
        <v>176.714285714286</v>
      </c>
      <c r="E206" s="42" t="n">
        <f aca="false">Baseline!H16*100</f>
        <v>183.285714285714</v>
      </c>
      <c r="F206" s="42" t="n">
        <f aca="false">Baseline!H17*100</f>
        <v>189.857142857143</v>
      </c>
      <c r="G206" s="42" t="n">
        <f aca="false">Baseline!H18*100</f>
        <v>196.428571428571</v>
      </c>
      <c r="H206" s="42" t="n">
        <f aca="false">Baseline!H19*100</f>
        <v>203</v>
      </c>
      <c r="I206" s="42" t="n">
        <f aca="false">Baseline!H20*100</f>
        <v>209.571428571429</v>
      </c>
      <c r="J206" s="42" t="n">
        <f aca="false">Baseline!H21*100</f>
        <v>216.142857142857</v>
      </c>
      <c r="K206" s="42" t="n">
        <f aca="false">Baseline!H22*100</f>
        <v>222.714285714286</v>
      </c>
      <c r="L206" s="43" t="n">
        <f aca="false">K206</f>
        <v>222.714285714286</v>
      </c>
    </row>
    <row r="207" customFormat="false" ht="15" hidden="false" customHeight="false" outlineLevel="0" collapsed="false">
      <c r="A207" s="41" t="n">
        <v>2</v>
      </c>
      <c r="B207" s="21" t="s">
        <v>317</v>
      </c>
      <c r="C207" s="11" t="s">
        <v>207</v>
      </c>
      <c r="D207" s="44" t="n">
        <f aca="false">Assumptions!D$63</f>
        <v>0.05</v>
      </c>
      <c r="E207" s="44" t="n">
        <f aca="false">Assumptions!E$63</f>
        <v>0.15</v>
      </c>
      <c r="F207" s="44" t="n">
        <f aca="false">Assumptions!F$63</f>
        <v>0.3</v>
      </c>
      <c r="G207" s="44" t="n">
        <f aca="false">Assumptions!G$63</f>
        <v>0.45</v>
      </c>
      <c r="H207" s="44" t="n">
        <f aca="false">Assumptions!H$63</f>
        <v>0.6</v>
      </c>
      <c r="I207" s="44" t="n">
        <f aca="false">Assumptions!I$63</f>
        <v>0.7</v>
      </c>
      <c r="J207" s="44" t="n">
        <f aca="false">Assumptions!J$63</f>
        <v>0.8</v>
      </c>
      <c r="K207" s="44" t="n">
        <f aca="false">Assumptions!K$63</f>
        <v>0.85</v>
      </c>
      <c r="L207" s="45" t="n">
        <f aca="false">K207</f>
        <v>0.85</v>
      </c>
    </row>
    <row r="208" customFormat="false" ht="15" hidden="false" customHeight="false" outlineLevel="0" collapsed="false">
      <c r="A208" s="46"/>
      <c r="B208" s="47" t="s">
        <v>318</v>
      </c>
      <c r="C208" s="46"/>
      <c r="D208" s="46"/>
      <c r="E208" s="46"/>
      <c r="F208" s="46"/>
      <c r="G208" s="46"/>
      <c r="H208" s="46"/>
      <c r="I208" s="46"/>
      <c r="J208" s="46"/>
      <c r="K208" s="46"/>
      <c r="L208" s="46"/>
    </row>
    <row r="209" customFormat="false" ht="15" hidden="false" customHeight="false" outlineLevel="0" collapsed="false">
      <c r="A209" s="41" t="n">
        <v>3</v>
      </c>
      <c r="B209" s="21" t="s">
        <v>319</v>
      </c>
      <c r="C209" s="11" t="s">
        <v>316</v>
      </c>
      <c r="D209" s="48" t="n">
        <f aca="false">D206*Assumptions!$E$11</f>
        <v>123.7</v>
      </c>
      <c r="E209" s="48" t="n">
        <f aca="false">E206*Assumptions!$E$11</f>
        <v>128.3</v>
      </c>
      <c r="F209" s="48" t="n">
        <f aca="false">F206*Assumptions!$E$11</f>
        <v>132.9</v>
      </c>
      <c r="G209" s="48" t="n">
        <f aca="false">G206*Assumptions!$E$11</f>
        <v>137.5</v>
      </c>
      <c r="H209" s="48" t="n">
        <f aca="false">H206*Assumptions!$E$11</f>
        <v>142.1</v>
      </c>
      <c r="I209" s="48" t="n">
        <f aca="false">I206*Assumptions!$E$11</f>
        <v>146.7</v>
      </c>
      <c r="J209" s="48" t="n">
        <f aca="false">J206*Assumptions!$E$11</f>
        <v>151.3</v>
      </c>
      <c r="K209" s="48" t="n">
        <f aca="false">K206*Assumptions!$E$11</f>
        <v>155.9</v>
      </c>
      <c r="L209" s="49" t="n">
        <f aca="false">K209</f>
        <v>155.9</v>
      </c>
    </row>
    <row r="210" customFormat="false" ht="15" hidden="false" customHeight="false" outlineLevel="0" collapsed="false">
      <c r="A210" s="41" t="n">
        <v>4</v>
      </c>
      <c r="B210" s="21" t="s">
        <v>320</v>
      </c>
      <c r="C210" s="11" t="s">
        <v>316</v>
      </c>
      <c r="D210" s="50" t="n">
        <f aca="false">D209*D207*Assumptions!$E$19</f>
        <v>0.06185</v>
      </c>
      <c r="E210" s="50" t="n">
        <f aca="false">E209*E207*Assumptions!$E$19</f>
        <v>0.19245</v>
      </c>
      <c r="F210" s="50" t="n">
        <f aca="false">F209*F207*Assumptions!$E$19</f>
        <v>0.3987</v>
      </c>
      <c r="G210" s="50" t="n">
        <f aca="false">G209*G207*Assumptions!$E$19</f>
        <v>0.61875</v>
      </c>
      <c r="H210" s="50" t="n">
        <f aca="false">H209*H207*Assumptions!$E$19</f>
        <v>0.8526</v>
      </c>
      <c r="I210" s="50" t="n">
        <f aca="false">I209*I207*Assumptions!$E$19</f>
        <v>1.0269</v>
      </c>
      <c r="J210" s="50" t="n">
        <f aca="false">J209*J207*Assumptions!$E$19</f>
        <v>1.2104</v>
      </c>
      <c r="K210" s="50" t="n">
        <f aca="false">K209*K207*Assumptions!$E$19</f>
        <v>1.32515</v>
      </c>
      <c r="L210" s="51" t="n">
        <f aca="false">K210</f>
        <v>1.32515</v>
      </c>
    </row>
    <row r="211" customFormat="false" ht="15" hidden="false" customHeight="false" outlineLevel="0" collapsed="false">
      <c r="A211" s="41" t="n">
        <v>5</v>
      </c>
      <c r="B211" s="21" t="s">
        <v>321</v>
      </c>
      <c r="C211" s="11" t="s">
        <v>316</v>
      </c>
      <c r="D211" s="50" t="n">
        <f aca="false">MAX(0,D210-N(C210))</f>
        <v>0.06185</v>
      </c>
      <c r="E211" s="50" t="n">
        <f aca="false">MAX(0,E210-N(D210))</f>
        <v>0.1306</v>
      </c>
      <c r="F211" s="50" t="n">
        <f aca="false">MAX(0,F210-N(E210))</f>
        <v>0.20625</v>
      </c>
      <c r="G211" s="50" t="n">
        <f aca="false">MAX(0,G210-N(F210))</f>
        <v>0.22005</v>
      </c>
      <c r="H211" s="50" t="n">
        <f aca="false">MAX(0,H210-N(G210))</f>
        <v>0.23385</v>
      </c>
      <c r="I211" s="50" t="n">
        <f aca="false">MAX(0,I210-N(H210))</f>
        <v>0.1743</v>
      </c>
      <c r="J211" s="50" t="n">
        <f aca="false">MAX(0,J210-N(I210))</f>
        <v>0.1835</v>
      </c>
      <c r="K211" s="50" t="n">
        <f aca="false">MAX(0,K210-N(J210))</f>
        <v>0.11475</v>
      </c>
      <c r="L211" s="52" t="n">
        <f aca="false">SUM(D211:K211)</f>
        <v>1.32515</v>
      </c>
    </row>
    <row r="212" customFormat="false" ht="15" hidden="false" customHeight="false" outlineLevel="0" collapsed="false">
      <c r="A212" s="41" t="n">
        <v>6</v>
      </c>
      <c r="B212" s="21" t="s">
        <v>322</v>
      </c>
      <c r="C212" s="11" t="s">
        <v>316</v>
      </c>
      <c r="D212" s="50" t="n">
        <f aca="false">D210*1</f>
        <v>0.06185</v>
      </c>
      <c r="E212" s="50" t="n">
        <f aca="false">E210*1</f>
        <v>0.19245</v>
      </c>
      <c r="F212" s="50" t="n">
        <f aca="false">F210*1</f>
        <v>0.3987</v>
      </c>
      <c r="G212" s="50" t="n">
        <f aca="false">G210*1</f>
        <v>0.61875</v>
      </c>
      <c r="H212" s="50" t="n">
        <f aca="false">H210*1</f>
        <v>0.8526</v>
      </c>
      <c r="I212" s="50" t="n">
        <f aca="false">I210*1</f>
        <v>1.0269</v>
      </c>
      <c r="J212" s="50" t="n">
        <f aca="false">J210*1</f>
        <v>1.2104</v>
      </c>
      <c r="K212" s="50" t="n">
        <f aca="false">K210*1</f>
        <v>1.32515</v>
      </c>
      <c r="L212" s="51" t="n">
        <f aca="false">K212</f>
        <v>1.32515</v>
      </c>
    </row>
    <row r="213" customFormat="false" ht="15" hidden="false" customHeight="false" outlineLevel="0" collapsed="false">
      <c r="A213" s="41" t="n">
        <v>7</v>
      </c>
      <c r="B213" s="21" t="s">
        <v>323</v>
      </c>
      <c r="C213" s="11" t="s">
        <v>316</v>
      </c>
      <c r="D213" s="50" t="n">
        <f aca="false">N(C213)+D210*Assumptions!$E$23/100/4</f>
        <v>0.00030925</v>
      </c>
      <c r="E213" s="50" t="n">
        <f aca="false">N(D213)+E210*Assumptions!$E$23/100/4</f>
        <v>0.0012715</v>
      </c>
      <c r="F213" s="50" t="n">
        <f aca="false">N(E213)+F210*Assumptions!$E$23/100/4</f>
        <v>0.003265</v>
      </c>
      <c r="G213" s="50" t="n">
        <f aca="false">N(F213)+G210*Assumptions!$E$23/100/4</f>
        <v>0.00635875</v>
      </c>
      <c r="H213" s="50" t="n">
        <f aca="false">N(G213)+H210*Assumptions!$E$23/100/4</f>
        <v>0.01062175</v>
      </c>
      <c r="I213" s="50" t="n">
        <f aca="false">N(H213)+I210*Assumptions!$E$23/100/4</f>
        <v>0.01575625</v>
      </c>
      <c r="J213" s="50" t="n">
        <f aca="false">N(I213)+J210*Assumptions!$E$23/100/4</f>
        <v>0.02180825</v>
      </c>
      <c r="K213" s="50" t="n">
        <f aca="false">N(J213)+K210*Assumptions!$E$23/100/4</f>
        <v>0.028434</v>
      </c>
      <c r="L213" s="51" t="n">
        <f aca="false">K213</f>
        <v>0.028434</v>
      </c>
    </row>
    <row r="214" customFormat="false" ht="15" hidden="false" customHeight="false" outlineLevel="0" collapsed="false">
      <c r="A214" s="41" t="n">
        <v>8</v>
      </c>
      <c r="B214" s="21" t="s">
        <v>324</v>
      </c>
      <c r="C214" s="11" t="s">
        <v>316</v>
      </c>
      <c r="D214" s="50" t="n">
        <f aca="false">D212+D213</f>
        <v>0.06215925</v>
      </c>
      <c r="E214" s="50" t="n">
        <f aca="false">E212+E213</f>
        <v>0.1937215</v>
      </c>
      <c r="F214" s="50" t="n">
        <f aca="false">F212+F213</f>
        <v>0.401965</v>
      </c>
      <c r="G214" s="50" t="n">
        <f aca="false">G212+G213</f>
        <v>0.62510875</v>
      </c>
      <c r="H214" s="50" t="n">
        <f aca="false">H212+H213</f>
        <v>0.86322175</v>
      </c>
      <c r="I214" s="50" t="n">
        <f aca="false">I212+I213</f>
        <v>1.04265625</v>
      </c>
      <c r="J214" s="50" t="n">
        <f aca="false">J212+J213</f>
        <v>1.23220825</v>
      </c>
      <c r="K214" s="50" t="n">
        <f aca="false">K212+K213</f>
        <v>1.353584</v>
      </c>
      <c r="L214" s="51" t="n">
        <f aca="false">K214</f>
        <v>1.353584</v>
      </c>
    </row>
    <row r="215" customFormat="false" ht="15" hidden="false" customHeight="false" outlineLevel="0" collapsed="false">
      <c r="A215" s="41" t="n">
        <v>9</v>
      </c>
      <c r="B215" s="21" t="s">
        <v>325</v>
      </c>
      <c r="C215" s="11" t="s">
        <v>316</v>
      </c>
      <c r="D215" s="50" t="n">
        <f aca="false">D214*Assumptions!$E$30</f>
        <v>0.006215925</v>
      </c>
      <c r="E215" s="50" t="n">
        <f aca="false">E214*Assumptions!$E$30</f>
        <v>0.01937215</v>
      </c>
      <c r="F215" s="50" t="n">
        <f aca="false">F214*Assumptions!$E$30</f>
        <v>0.0401965</v>
      </c>
      <c r="G215" s="50" t="n">
        <f aca="false">G214*Assumptions!$E$30</f>
        <v>0.062510875</v>
      </c>
      <c r="H215" s="50" t="n">
        <f aca="false">H214*Assumptions!$E$30</f>
        <v>0.086322175</v>
      </c>
      <c r="I215" s="50" t="n">
        <f aca="false">I214*Assumptions!$E$30</f>
        <v>0.104265625</v>
      </c>
      <c r="J215" s="50" t="n">
        <f aca="false">J214*Assumptions!$E$30</f>
        <v>0.123220825</v>
      </c>
      <c r="K215" s="50" t="n">
        <f aca="false">K214*Assumptions!$E$30</f>
        <v>0.1353584</v>
      </c>
      <c r="L215" s="51" t="n">
        <f aca="false">K215</f>
        <v>0.1353584</v>
      </c>
    </row>
    <row r="216" customFormat="false" ht="15" hidden="false" customHeight="false" outlineLevel="0" collapsed="false">
      <c r="A216" s="41" t="n">
        <v>10</v>
      </c>
      <c r="B216" s="21" t="s">
        <v>326</v>
      </c>
      <c r="C216" s="11" t="s">
        <v>316</v>
      </c>
      <c r="D216" s="50" t="n">
        <f aca="false">D210*Assumptions!$E$35</f>
        <v>0.0278325</v>
      </c>
      <c r="E216" s="50" t="n">
        <f aca="false">E210*Assumptions!$E$35</f>
        <v>0.0866025</v>
      </c>
      <c r="F216" s="50" t="n">
        <f aca="false">F210*Assumptions!$E$35</f>
        <v>0.179415</v>
      </c>
      <c r="G216" s="50" t="n">
        <f aca="false">G210*Assumptions!$E$35</f>
        <v>0.2784375</v>
      </c>
      <c r="H216" s="50" t="n">
        <f aca="false">H210*Assumptions!$E$35</f>
        <v>0.38367</v>
      </c>
      <c r="I216" s="50" t="n">
        <f aca="false">I210*Assumptions!$E$35</f>
        <v>0.462105</v>
      </c>
      <c r="J216" s="50" t="n">
        <f aca="false">J210*Assumptions!$E$35</f>
        <v>0.54468</v>
      </c>
      <c r="K216" s="50" t="n">
        <f aca="false">K210*Assumptions!$E$35</f>
        <v>0.5963175</v>
      </c>
      <c r="L216" s="51" t="n">
        <f aca="false">K216</f>
        <v>0.5963175</v>
      </c>
    </row>
    <row r="217" customFormat="false" ht="15" hidden="false" customHeight="false" outlineLevel="0" collapsed="false">
      <c r="A217" s="41" t="n">
        <v>11</v>
      </c>
      <c r="B217" s="21" t="s">
        <v>327</v>
      </c>
      <c r="C217" s="11" t="s">
        <v>316</v>
      </c>
      <c r="D217" s="50" t="n">
        <f aca="false">D216*Assumptions!$E$36/4</f>
        <v>0.01391625</v>
      </c>
      <c r="E217" s="50" t="n">
        <f aca="false">E216*Assumptions!$E$36/4</f>
        <v>0.04330125</v>
      </c>
      <c r="F217" s="50" t="n">
        <f aca="false">F216*Assumptions!$E$36/4</f>
        <v>0.0897075</v>
      </c>
      <c r="G217" s="50" t="n">
        <f aca="false">G216*Assumptions!$E$36/4</f>
        <v>0.13921875</v>
      </c>
      <c r="H217" s="50" t="n">
        <f aca="false">H216*Assumptions!$E$36/4</f>
        <v>0.191835</v>
      </c>
      <c r="I217" s="50" t="n">
        <f aca="false">I216*Assumptions!$E$36/4</f>
        <v>0.2310525</v>
      </c>
      <c r="J217" s="50" t="n">
        <f aca="false">J216*Assumptions!$E$36/4</f>
        <v>0.27234</v>
      </c>
      <c r="K217" s="50" t="n">
        <f aca="false">K216*Assumptions!$E$36/4</f>
        <v>0.29815875</v>
      </c>
      <c r="L217" s="52" t="n">
        <f aca="false">SUM(D217:K217)</f>
        <v>1.27953</v>
      </c>
    </row>
    <row r="218" customFormat="false" ht="15" hidden="false" customHeight="false" outlineLevel="0" collapsed="false">
      <c r="A218" s="41" t="n">
        <v>12</v>
      </c>
      <c r="B218" s="21" t="s">
        <v>328</v>
      </c>
      <c r="C218" s="11" t="s">
        <v>275</v>
      </c>
      <c r="D218" s="53" t="n">
        <f aca="false">D217*Assumptions!$E$37*1/100</f>
        <v>11.133</v>
      </c>
      <c r="E218" s="53" t="n">
        <f aca="false">E217*Assumptions!$E$37*1/100</f>
        <v>34.641</v>
      </c>
      <c r="F218" s="53" t="n">
        <f aca="false">F217*Assumptions!$E$37*1/100</f>
        <v>71.766</v>
      </c>
      <c r="G218" s="53" t="n">
        <f aca="false">G217*Assumptions!$E$37*1/100</f>
        <v>111.375</v>
      </c>
      <c r="H218" s="53" t="n">
        <f aca="false">H217*Assumptions!$E$37*1/100</f>
        <v>153.468</v>
      </c>
      <c r="I218" s="53" t="n">
        <f aca="false">I217*Assumptions!$E$37*1/100</f>
        <v>184.842</v>
      </c>
      <c r="J218" s="53" t="n">
        <f aca="false">J217*Assumptions!$E$37*1/100</f>
        <v>217.872</v>
      </c>
      <c r="K218" s="53" t="n">
        <f aca="false">K217*Assumptions!$E$37*1/100</f>
        <v>238.527</v>
      </c>
      <c r="L218" s="54" t="n">
        <f aca="false">SUM(D218:K218)</f>
        <v>1023.624</v>
      </c>
    </row>
    <row r="219" customFormat="false" ht="15" hidden="false" customHeight="false" outlineLevel="0" collapsed="false">
      <c r="A219" s="41" t="n">
        <v>13</v>
      </c>
      <c r="B219" s="21" t="s">
        <v>329</v>
      </c>
      <c r="C219" s="11" t="s">
        <v>275</v>
      </c>
      <c r="D219" s="34" t="n">
        <f aca="false">D212*Assumptions!$E$8*3/100</f>
        <v>83.4975</v>
      </c>
      <c r="E219" s="34" t="n">
        <f aca="false">E212*Assumptions!$E$8*3/100</f>
        <v>259.8075</v>
      </c>
      <c r="F219" s="34" t="n">
        <f aca="false">F212*Assumptions!$E$8*3/100</f>
        <v>538.245</v>
      </c>
      <c r="G219" s="34" t="n">
        <f aca="false">G212*Assumptions!$E$8*3/100</f>
        <v>835.3125</v>
      </c>
      <c r="H219" s="34" t="n">
        <f aca="false">H212*Assumptions!$E$8*3/100</f>
        <v>1151.01</v>
      </c>
      <c r="I219" s="34" t="n">
        <f aca="false">I212*Assumptions!$E$8*3/100</f>
        <v>1386.315</v>
      </c>
      <c r="J219" s="34" t="n">
        <f aca="false">J212*Assumptions!$E$8*3/100</f>
        <v>1634.04</v>
      </c>
      <c r="K219" s="34" t="n">
        <f aca="false">K212*Assumptions!$E$8*3/100</f>
        <v>1788.9525</v>
      </c>
      <c r="L219" s="55" t="n">
        <f aca="false">SUM(D219:K219)</f>
        <v>7677.18</v>
      </c>
    </row>
    <row r="220" customFormat="false" ht="15" hidden="false" customHeight="false" outlineLevel="0" collapsed="false">
      <c r="A220" s="41" t="n">
        <v>14</v>
      </c>
      <c r="B220" s="21" t="s">
        <v>330</v>
      </c>
      <c r="C220" s="11" t="s">
        <v>275</v>
      </c>
      <c r="D220" s="53" t="n">
        <f aca="false">D219*Assumptions!$E$42</f>
        <v>1.66995</v>
      </c>
      <c r="E220" s="53" t="n">
        <f aca="false">E219*Assumptions!$E$42</f>
        <v>5.19615</v>
      </c>
      <c r="F220" s="53" t="n">
        <f aca="false">F219*Assumptions!$E$42</f>
        <v>10.7649</v>
      </c>
      <c r="G220" s="53" t="n">
        <f aca="false">G219*Assumptions!$E$42</f>
        <v>16.70625</v>
      </c>
      <c r="H220" s="53" t="n">
        <f aca="false">H219*Assumptions!$E$42</f>
        <v>23.0202</v>
      </c>
      <c r="I220" s="53" t="n">
        <f aca="false">I219*Assumptions!$E$42</f>
        <v>27.7263</v>
      </c>
      <c r="J220" s="53" t="n">
        <f aca="false">J219*Assumptions!$E$42</f>
        <v>32.6808</v>
      </c>
      <c r="K220" s="53" t="n">
        <f aca="false">K219*Assumptions!$E$42</f>
        <v>35.77905</v>
      </c>
      <c r="L220" s="54" t="n">
        <f aca="false">SUM(D220:K220)</f>
        <v>153.5436</v>
      </c>
    </row>
    <row r="221" customFormat="false" ht="15" hidden="false" customHeight="false" outlineLevel="0" collapsed="false">
      <c r="A221" s="41" t="n">
        <v>15</v>
      </c>
      <c r="B221" s="21" t="s">
        <v>331</v>
      </c>
      <c r="C221" s="11" t="s">
        <v>275</v>
      </c>
      <c r="D221" s="53" t="n">
        <f aca="false">D215*Assumptions!$E$8*3/100*Assumptions!$E$44</f>
        <v>0.0839149875</v>
      </c>
      <c r="E221" s="53" t="n">
        <f aca="false">E215*Assumptions!$E$8*3/100*Assumptions!$E$44</f>
        <v>0.261524025</v>
      </c>
      <c r="F221" s="53" t="n">
        <f aca="false">F215*Assumptions!$E$8*3/100*Assumptions!$E$44</f>
        <v>0.54265275</v>
      </c>
      <c r="G221" s="53" t="n">
        <f aca="false">G215*Assumptions!$E$8*3/100*Assumptions!$E$44</f>
        <v>0.8438968125</v>
      </c>
      <c r="H221" s="53" t="n">
        <f aca="false">H215*Assumptions!$E$8*3/100*Assumptions!$E$44</f>
        <v>1.1653493625</v>
      </c>
      <c r="I221" s="53" t="n">
        <f aca="false">I215*Assumptions!$E$8*3/100*Assumptions!$E$44</f>
        <v>1.4075859375</v>
      </c>
      <c r="J221" s="53" t="n">
        <f aca="false">J215*Assumptions!$E$8*3/100*Assumptions!$E$44</f>
        <v>1.6634811375</v>
      </c>
      <c r="K221" s="53" t="n">
        <f aca="false">K215*Assumptions!$E$8*3/100*Assumptions!$E$44</f>
        <v>1.8273384</v>
      </c>
      <c r="L221" s="54" t="n">
        <f aca="false">SUM(D221:K221)</f>
        <v>7.7957434125</v>
      </c>
    </row>
    <row r="222" customFormat="false" ht="15" hidden="false" customHeight="false" outlineLevel="0" collapsed="false">
      <c r="A222" s="41" t="n">
        <v>16</v>
      </c>
      <c r="B222" s="21" t="s">
        <v>332</v>
      </c>
      <c r="C222" s="11" t="s">
        <v>316</v>
      </c>
      <c r="D222" s="50" t="n">
        <f aca="false">N(C222)+D214*Assumptions!$E$45/4</f>
        <v>0.00031079625</v>
      </c>
      <c r="E222" s="50" t="n">
        <f aca="false">N(D222)+E214*Assumptions!$E$45/4</f>
        <v>0.00127940375</v>
      </c>
      <c r="F222" s="50" t="n">
        <f aca="false">N(E222)+F214*Assumptions!$E$45/4</f>
        <v>0.00328922875</v>
      </c>
      <c r="G222" s="50" t="n">
        <f aca="false">N(F222)+G214*Assumptions!$E$45/4</f>
        <v>0.0064147725</v>
      </c>
      <c r="H222" s="50" t="n">
        <f aca="false">N(G222)+H214*Assumptions!$E$45/4</f>
        <v>0.01073088125</v>
      </c>
      <c r="I222" s="50" t="n">
        <f aca="false">N(H222)+I214*Assumptions!$E$45/4</f>
        <v>0.0159441625</v>
      </c>
      <c r="J222" s="50" t="n">
        <f aca="false">N(I222)+J214*Assumptions!$E$45/4</f>
        <v>0.02210520375</v>
      </c>
      <c r="K222" s="50" t="n">
        <f aca="false">N(J222)+K214*Assumptions!$E$45/4</f>
        <v>0.02887312375</v>
      </c>
      <c r="L222" s="51" t="n">
        <f aca="false">K222</f>
        <v>0.02887312375</v>
      </c>
    </row>
    <row r="223" customFormat="false" ht="15" hidden="false" customHeight="false" outlineLevel="0" collapsed="false">
      <c r="A223" s="41" t="n">
        <v>17</v>
      </c>
      <c r="B223" s="21" t="s">
        <v>333</v>
      </c>
      <c r="C223" s="11" t="s">
        <v>275</v>
      </c>
      <c r="D223" s="53" t="n">
        <f aca="false">D222*Assumptions!$E$8*3/100</f>
        <v>0.4195749375</v>
      </c>
      <c r="E223" s="53" t="n">
        <f aca="false">E222*Assumptions!$E$8*3/100</f>
        <v>1.7271950625</v>
      </c>
      <c r="F223" s="53" t="n">
        <f aca="false">F222*Assumptions!$E$8*3/100</f>
        <v>4.4404588125</v>
      </c>
      <c r="G223" s="53" t="n">
        <f aca="false">G222*Assumptions!$E$8*3/100</f>
        <v>8.659942875</v>
      </c>
      <c r="H223" s="53" t="n">
        <f aca="false">H222*Assumptions!$E$8*3/100</f>
        <v>14.4866896875</v>
      </c>
      <c r="I223" s="53" t="n">
        <f aca="false">I222*Assumptions!$E$8*3/100</f>
        <v>21.524619375</v>
      </c>
      <c r="J223" s="53" t="n">
        <f aca="false">J222*Assumptions!$E$8*3/100</f>
        <v>29.8420250625</v>
      </c>
      <c r="K223" s="53" t="n">
        <f aca="false">K222*Assumptions!$E$8*3/100</f>
        <v>38.9787170625</v>
      </c>
      <c r="L223" s="54" t="n">
        <f aca="false">SUM(D223:K223)</f>
        <v>120.079222875</v>
      </c>
    </row>
    <row r="224" customFormat="false" ht="15" hidden="false" customHeight="false" outlineLevel="0" collapsed="false">
      <c r="A224" s="41" t="n">
        <v>18</v>
      </c>
      <c r="B224" s="21" t="s">
        <v>334</v>
      </c>
      <c r="C224" s="11" t="s">
        <v>275</v>
      </c>
      <c r="D224" s="53" t="n">
        <f aca="false">D213*Assumptions!$E$8*3/100</f>
        <v>0.4174875</v>
      </c>
      <c r="E224" s="53" t="n">
        <f aca="false">E213*Assumptions!$E$8*3/100</f>
        <v>1.716525</v>
      </c>
      <c r="F224" s="53" t="n">
        <f aca="false">F213*Assumptions!$E$8*3/100</f>
        <v>4.40775</v>
      </c>
      <c r="G224" s="53" t="n">
        <f aca="false">G213*Assumptions!$E$8*3/100</f>
        <v>8.5843125</v>
      </c>
      <c r="H224" s="53" t="n">
        <f aca="false">H213*Assumptions!$E$8*3/100</f>
        <v>14.3393625</v>
      </c>
      <c r="I224" s="53" t="n">
        <f aca="false">I213*Assumptions!$E$8*3/100</f>
        <v>21.2709375</v>
      </c>
      <c r="J224" s="53" t="n">
        <f aca="false">J213*Assumptions!$E$8*3/100</f>
        <v>29.4411375</v>
      </c>
      <c r="K224" s="53" t="n">
        <f aca="false">K213*Assumptions!$E$8*3/100</f>
        <v>38.3859</v>
      </c>
      <c r="L224" s="54" t="n">
        <f aca="false">SUM(D224:K224)</f>
        <v>118.5634125</v>
      </c>
    </row>
    <row r="225" customFormat="false" ht="15" hidden="false" customHeight="false" outlineLevel="0" collapsed="false">
      <c r="A225" s="41" t="n">
        <v>19</v>
      </c>
      <c r="B225" s="21" t="s">
        <v>335</v>
      </c>
      <c r="C225" s="11" t="s">
        <v>275</v>
      </c>
      <c r="D225" s="53" t="n">
        <f aca="false">D220+D221+D223+D224</f>
        <v>2.590927425</v>
      </c>
      <c r="E225" s="53" t="n">
        <f aca="false">E220+E221+E223+E224</f>
        <v>8.9013940875</v>
      </c>
      <c r="F225" s="53" t="n">
        <f aca="false">F220+F221+F223+F224</f>
        <v>20.1557615625</v>
      </c>
      <c r="G225" s="53" t="n">
        <f aca="false">G220+G221+G223+G224</f>
        <v>34.7944021875</v>
      </c>
      <c r="H225" s="53" t="n">
        <f aca="false">H220+H221+H223+H224</f>
        <v>53.01160155</v>
      </c>
      <c r="I225" s="53" t="n">
        <f aca="false">I220+I221+I223+I224</f>
        <v>71.9294428125</v>
      </c>
      <c r="J225" s="53" t="n">
        <f aca="false">J220+J221+J223+J224</f>
        <v>93.6274437</v>
      </c>
      <c r="K225" s="53" t="n">
        <f aca="false">K220+K221+K223+K224</f>
        <v>114.9710054625</v>
      </c>
      <c r="L225" s="54" t="n">
        <f aca="false">SUM(D225:K225)</f>
        <v>399.9819787875</v>
      </c>
    </row>
    <row r="226" customFormat="false" ht="15" hidden="false" customHeight="false" outlineLevel="0" collapsed="false">
      <c r="A226" s="41" t="n">
        <v>20</v>
      </c>
      <c r="B226" s="21" t="s">
        <v>336</v>
      </c>
      <c r="C226" s="11" t="s">
        <v>275</v>
      </c>
      <c r="D226" s="24" t="n">
        <f aca="false">D210*Assumptions!$E$25*3/100</f>
        <v>0.3692445</v>
      </c>
      <c r="E226" s="24" t="n">
        <f aca="false">E210*Assumptions!$E$25*3/100</f>
        <v>1.1489265</v>
      </c>
      <c r="F226" s="24" t="n">
        <f aca="false">F210*Assumptions!$E$25*3/100</f>
        <v>2.380239</v>
      </c>
      <c r="G226" s="24" t="n">
        <f aca="false">G210*Assumptions!$E$25*3/100</f>
        <v>3.6939375</v>
      </c>
      <c r="H226" s="24" t="n">
        <f aca="false">H210*Assumptions!$E$25*3/100</f>
        <v>5.090022</v>
      </c>
      <c r="I226" s="24" t="n">
        <f aca="false">I210*Assumptions!$E$25*3/100</f>
        <v>6.130593</v>
      </c>
      <c r="J226" s="24" t="n">
        <f aca="false">J210*Assumptions!$E$25*3/100</f>
        <v>7.226088</v>
      </c>
      <c r="K226" s="24" t="n">
        <f aca="false">K210*Assumptions!$E$25*3/100</f>
        <v>7.9111455</v>
      </c>
      <c r="L226" s="56" t="n">
        <f aca="false">SUM(D226:K226)</f>
        <v>33.950196</v>
      </c>
    </row>
    <row r="227" customFormat="false" ht="15" hidden="false" customHeight="false" outlineLevel="0" collapsed="false">
      <c r="A227" s="41" t="n">
        <v>21</v>
      </c>
      <c r="B227" s="21" t="s">
        <v>337</v>
      </c>
      <c r="C227" s="11" t="s">
        <v>275</v>
      </c>
      <c r="D227" s="24" t="n">
        <f aca="false">D215*Assumptions!$E$29*3/100</f>
        <v>0.01846129725</v>
      </c>
      <c r="E227" s="24" t="n">
        <f aca="false">E215*Assumptions!$E$29*3/100</f>
        <v>0.0575352855</v>
      </c>
      <c r="F227" s="24" t="n">
        <f aca="false">F215*Assumptions!$E$29*3/100</f>
        <v>0.119383605</v>
      </c>
      <c r="G227" s="24" t="n">
        <f aca="false">G215*Assumptions!$E$29*3/100</f>
        <v>0.18565729875</v>
      </c>
      <c r="H227" s="24" t="n">
        <f aca="false">H215*Assumptions!$E$29*3/100</f>
        <v>0.25637685975</v>
      </c>
      <c r="I227" s="24" t="n">
        <f aca="false">I215*Assumptions!$E$29*3/100</f>
        <v>0.30966890625</v>
      </c>
      <c r="J227" s="24" t="n">
        <f aca="false">J215*Assumptions!$E$29*3/100</f>
        <v>0.36596585025</v>
      </c>
      <c r="K227" s="24" t="n">
        <f aca="false">K215*Assumptions!$E$29*3/100</f>
        <v>0.402014448</v>
      </c>
      <c r="L227" s="56" t="n">
        <f aca="false">SUM(D227:K227)</f>
        <v>1.71506355075</v>
      </c>
    </row>
    <row r="228" customFormat="false" ht="15" hidden="false" customHeight="false" outlineLevel="0" collapsed="false">
      <c r="A228" s="41" t="n">
        <v>22</v>
      </c>
      <c r="B228" s="21" t="s">
        <v>338</v>
      </c>
      <c r="C228" s="11" t="s">
        <v>275</v>
      </c>
      <c r="D228" s="24" t="n">
        <f aca="false">D210*Assumptions!$E$33*Assumptions!$E$32*3/100</f>
        <v>0.0367389</v>
      </c>
      <c r="E228" s="24" t="n">
        <f aca="false">E210*Assumptions!$E$33*Assumptions!$E$32*3/100</f>
        <v>0.1143153</v>
      </c>
      <c r="F228" s="24" t="n">
        <f aca="false">F210*Assumptions!$E$33*Assumptions!$E$32*3/100</f>
        <v>0.2368278</v>
      </c>
      <c r="G228" s="24" t="n">
        <f aca="false">G210*Assumptions!$E$33*Assumptions!$E$32*3/100</f>
        <v>0.3675375</v>
      </c>
      <c r="H228" s="24" t="n">
        <f aca="false">H210*Assumptions!$E$33*Assumptions!$E$32*3/100</f>
        <v>0.5064444</v>
      </c>
      <c r="I228" s="24" t="n">
        <f aca="false">I210*Assumptions!$E$33*Assumptions!$E$32*3/100</f>
        <v>0.6099786</v>
      </c>
      <c r="J228" s="24" t="n">
        <f aca="false">J210*Assumptions!$E$33*Assumptions!$E$32*3/100</f>
        <v>0.7189776</v>
      </c>
      <c r="K228" s="24" t="n">
        <f aca="false">K210*Assumptions!$E$33*Assumptions!$E$32*3/100</f>
        <v>0.7871391</v>
      </c>
      <c r="L228" s="56" t="n">
        <f aca="false">SUM(D228:K228)</f>
        <v>3.3779592</v>
      </c>
    </row>
    <row r="229" customFormat="false" ht="15" hidden="false" customHeight="false" outlineLevel="0" collapsed="false">
      <c r="A229" s="41" t="n">
        <v>23</v>
      </c>
      <c r="B229" s="21" t="s">
        <v>339</v>
      </c>
      <c r="C229" s="11" t="s">
        <v>275</v>
      </c>
      <c r="D229" s="24" t="n">
        <f aca="false">D218*Assumptions!$E$38</f>
        <v>0.22266</v>
      </c>
      <c r="E229" s="24" t="n">
        <f aca="false">E218*Assumptions!$E$38</f>
        <v>0.69282</v>
      </c>
      <c r="F229" s="24" t="n">
        <f aca="false">F218*Assumptions!$E$38</f>
        <v>1.43532</v>
      </c>
      <c r="G229" s="24" t="n">
        <f aca="false">G218*Assumptions!$E$38</f>
        <v>2.2275</v>
      </c>
      <c r="H229" s="24" t="n">
        <f aca="false">H218*Assumptions!$E$38</f>
        <v>3.06936</v>
      </c>
      <c r="I229" s="24" t="n">
        <f aca="false">I218*Assumptions!$E$38</f>
        <v>3.69684</v>
      </c>
      <c r="J229" s="24" t="n">
        <f aca="false">J218*Assumptions!$E$38</f>
        <v>4.35744</v>
      </c>
      <c r="K229" s="24" t="n">
        <f aca="false">K218*Assumptions!$E$38</f>
        <v>4.77054</v>
      </c>
      <c r="L229" s="56" t="n">
        <f aca="false">SUM(D229:K229)</f>
        <v>20.47248</v>
      </c>
    </row>
    <row r="230" customFormat="false" ht="15" hidden="false" customHeight="false" outlineLevel="0" collapsed="false">
      <c r="A230" s="41" t="n">
        <v>24</v>
      </c>
      <c r="B230" s="21" t="s">
        <v>340</v>
      </c>
      <c r="C230" s="11" t="s">
        <v>275</v>
      </c>
      <c r="D230" s="24" t="n">
        <f aca="false">D225*Assumptions!$E$6</f>
        <v>0.00103637097</v>
      </c>
      <c r="E230" s="24" t="n">
        <f aca="false">E225*Assumptions!$E$6</f>
        <v>0.003560557635</v>
      </c>
      <c r="F230" s="24" t="n">
        <f aca="false">F225*Assumptions!$E$6</f>
        <v>0.008062304625</v>
      </c>
      <c r="G230" s="24" t="n">
        <f aca="false">G225*Assumptions!$E$6</f>
        <v>0.013917760875</v>
      </c>
      <c r="H230" s="24" t="n">
        <f aca="false">H225*Assumptions!$E$6</f>
        <v>0.02120464062</v>
      </c>
      <c r="I230" s="24" t="n">
        <f aca="false">I225*Assumptions!$E$6</f>
        <v>0.028771777125</v>
      </c>
      <c r="J230" s="24" t="n">
        <f aca="false">J225*Assumptions!$E$6</f>
        <v>0.03745097748</v>
      </c>
      <c r="K230" s="24" t="n">
        <f aca="false">K225*Assumptions!$E$6</f>
        <v>0.045988402185</v>
      </c>
      <c r="L230" s="56" t="n">
        <f aca="false">SUM(D230:K230)</f>
        <v>0.159992791515</v>
      </c>
    </row>
    <row r="231" customFormat="false" ht="15" hidden="false" customHeight="false" outlineLevel="0" collapsed="false">
      <c r="A231" s="41" t="n">
        <v>25</v>
      </c>
      <c r="B231" s="21" t="s">
        <v>341</v>
      </c>
      <c r="C231" s="11" t="s">
        <v>275</v>
      </c>
      <c r="D231" s="24" t="n">
        <f aca="false">(D222+D213)*Assumptions!$E$9*3/100</f>
        <v>0.001674124875</v>
      </c>
      <c r="E231" s="24" t="n">
        <f aca="false">(E222+E213)*Assumptions!$E$9*3/100</f>
        <v>0.006887440125</v>
      </c>
      <c r="F231" s="24" t="n">
        <f aca="false">(F222+F213)*Assumptions!$E$9*3/100</f>
        <v>0.017696417625</v>
      </c>
      <c r="G231" s="24" t="n">
        <f aca="false">(G222+G213)*Assumptions!$E$9*3/100</f>
        <v>0.03448851075</v>
      </c>
      <c r="H231" s="24" t="n">
        <f aca="false">(H222+H213)*Assumptions!$E$9*3/100</f>
        <v>0.057652104375</v>
      </c>
      <c r="I231" s="24" t="n">
        <f aca="false">(I222+I213)*Assumptions!$E$9*3/100</f>
        <v>0.08559111375</v>
      </c>
      <c r="J231" s="24" t="n">
        <f aca="false">(J222+J213)*Assumptions!$E$9*3/100</f>
        <v>0.118566325125</v>
      </c>
      <c r="K231" s="24" t="n">
        <f aca="false">(K222+K213)*Assumptions!$E$9*3/100</f>
        <v>0.154729234125</v>
      </c>
      <c r="L231" s="56" t="n">
        <f aca="false">SUM(D231:K231)</f>
        <v>0.47728527075</v>
      </c>
    </row>
    <row r="232" customFormat="false" ht="15" hidden="false" customHeight="false" outlineLevel="0" collapsed="false">
      <c r="A232" s="41" t="n">
        <v>26</v>
      </c>
      <c r="B232" s="21" t="s">
        <v>342</v>
      </c>
      <c r="C232" s="11" t="s">
        <v>275</v>
      </c>
      <c r="D232" s="24" t="n">
        <f aca="false">SUM(D226:D231)</f>
        <v>0.649815193095</v>
      </c>
      <c r="E232" s="24" t="n">
        <f aca="false">SUM(E226:E231)</f>
        <v>2.02404508326</v>
      </c>
      <c r="F232" s="24" t="n">
        <f aca="false">SUM(F226:F231)</f>
        <v>4.19752912725</v>
      </c>
      <c r="G232" s="24" t="n">
        <f aca="false">SUM(G226:G231)</f>
        <v>6.523038570375</v>
      </c>
      <c r="H232" s="24" t="n">
        <f aca="false">SUM(H226:H231)</f>
        <v>9.001060004745</v>
      </c>
      <c r="I232" s="24" t="n">
        <f aca="false">SUM(I226:I231)</f>
        <v>10.861443397125</v>
      </c>
      <c r="J232" s="24" t="n">
        <f aca="false">SUM(J226:J231)</f>
        <v>12.824488752855</v>
      </c>
      <c r="K232" s="24" t="n">
        <f aca="false">SUM(K226:K231)</f>
        <v>14.07155668431</v>
      </c>
      <c r="L232" s="56" t="n">
        <f aca="false">SUM(D232:K232)</f>
        <v>60.152976813015</v>
      </c>
    </row>
    <row r="233" customFormat="false" ht="15" hidden="false" customHeight="false" outlineLevel="0" collapsed="false">
      <c r="A233" s="41" t="n">
        <v>27</v>
      </c>
      <c r="B233" s="21" t="s">
        <v>343</v>
      </c>
      <c r="C233" s="11" t="s">
        <v>275</v>
      </c>
      <c r="D233" s="24" t="n">
        <f aca="false">D214*Assumptions!$E$47*3/100</f>
        <v>0.0466194375</v>
      </c>
      <c r="E233" s="24" t="n">
        <f aca="false">E214*Assumptions!$E$47*3/100</f>
        <v>0.145291125</v>
      </c>
      <c r="F233" s="24" t="n">
        <f aca="false">F214*Assumptions!$E$47*3/100</f>
        <v>0.30147375</v>
      </c>
      <c r="G233" s="24" t="n">
        <f aca="false">G214*Assumptions!$E$47*3/100</f>
        <v>0.4688315625</v>
      </c>
      <c r="H233" s="24" t="n">
        <f aca="false">H214*Assumptions!$E$47*3/100</f>
        <v>0.6474163125</v>
      </c>
      <c r="I233" s="24" t="n">
        <f aca="false">I214*Assumptions!$E$47*3/100</f>
        <v>0.7819921875</v>
      </c>
      <c r="J233" s="24" t="n">
        <f aca="false">J214*Assumptions!$E$47*3/100</f>
        <v>0.9241561875</v>
      </c>
      <c r="K233" s="24" t="n">
        <f aca="false">K214*Assumptions!$E$47*3/100</f>
        <v>1.015188</v>
      </c>
      <c r="L233" s="56" t="n">
        <f aca="false">SUM(D233:K233)</f>
        <v>4.3309685625</v>
      </c>
    </row>
    <row r="234" customFormat="false" ht="15" hidden="false" customHeight="false" outlineLevel="0" collapsed="false">
      <c r="A234" s="41" t="n">
        <v>28</v>
      </c>
      <c r="B234" s="21" t="s">
        <v>344</v>
      </c>
      <c r="C234" s="11" t="s">
        <v>275</v>
      </c>
      <c r="D234" s="24" t="n">
        <f aca="false">D215*Assumptions!$E$48*90*Assumptions!$E$49/100</f>
        <v>0.006713199</v>
      </c>
      <c r="E234" s="24" t="n">
        <f aca="false">E215*Assumptions!$E$48*90*Assumptions!$E$49/100</f>
        <v>0.020921922</v>
      </c>
      <c r="F234" s="24" t="n">
        <f aca="false">F215*Assumptions!$E$48*90*Assumptions!$E$49/100</f>
        <v>0.04341222</v>
      </c>
      <c r="G234" s="24" t="n">
        <f aca="false">G215*Assumptions!$E$48*90*Assumptions!$E$49/100</f>
        <v>0.067511745</v>
      </c>
      <c r="H234" s="24" t="n">
        <f aca="false">H215*Assumptions!$E$48*90*Assumptions!$E$49/100</f>
        <v>0.093227949</v>
      </c>
      <c r="I234" s="24" t="n">
        <f aca="false">I215*Assumptions!$E$48*90*Assumptions!$E$49/100</f>
        <v>0.112606875</v>
      </c>
      <c r="J234" s="24" t="n">
        <f aca="false">J215*Assumptions!$E$48*90*Assumptions!$E$49/100</f>
        <v>0.133078491</v>
      </c>
      <c r="K234" s="24" t="n">
        <f aca="false">K215*Assumptions!$E$48*90*Assumptions!$E$49/100</f>
        <v>0.146187072</v>
      </c>
      <c r="L234" s="56" t="n">
        <f aca="false">SUM(D234:K234)</f>
        <v>0.623659473</v>
      </c>
    </row>
    <row r="235" customFormat="false" ht="15" hidden="false" customHeight="false" outlineLevel="0" collapsed="false">
      <c r="A235" s="41" t="n">
        <v>29</v>
      </c>
      <c r="B235" s="21" t="s">
        <v>345</v>
      </c>
      <c r="C235" s="11" t="s">
        <v>275</v>
      </c>
      <c r="D235" s="24" t="n">
        <f aca="false">D210*Assumptions!$E$50*3/100</f>
        <v>0.0278325</v>
      </c>
      <c r="E235" s="24" t="n">
        <f aca="false">E210*Assumptions!$E$50*3/100</f>
        <v>0.0866025</v>
      </c>
      <c r="F235" s="24" t="n">
        <f aca="false">F210*Assumptions!$E$50*3/100</f>
        <v>0.179415</v>
      </c>
      <c r="G235" s="24" t="n">
        <f aca="false">G210*Assumptions!$E$50*3/100</f>
        <v>0.2784375</v>
      </c>
      <c r="H235" s="24" t="n">
        <f aca="false">H210*Assumptions!$E$50*3/100</f>
        <v>0.38367</v>
      </c>
      <c r="I235" s="24" t="n">
        <f aca="false">I210*Assumptions!$E$50*3/100</f>
        <v>0.462105</v>
      </c>
      <c r="J235" s="24" t="n">
        <f aca="false">J210*Assumptions!$E$50*3/100</f>
        <v>0.54468</v>
      </c>
      <c r="K235" s="24" t="n">
        <f aca="false">K210*Assumptions!$E$50*3/100</f>
        <v>0.5963175</v>
      </c>
      <c r="L235" s="56" t="n">
        <f aca="false">SUM(D235:K235)</f>
        <v>2.55906</v>
      </c>
    </row>
    <row r="236" customFormat="false" ht="15" hidden="false" customHeight="false" outlineLevel="0" collapsed="false">
      <c r="A236" s="41" t="n">
        <v>30</v>
      </c>
      <c r="B236" s="21" t="s">
        <v>346</v>
      </c>
      <c r="C236" s="11" t="s">
        <v>275</v>
      </c>
      <c r="D236" s="24" t="n">
        <f aca="false">D214*Assumptions!$E$51*3/100</f>
        <v>0.02237733</v>
      </c>
      <c r="E236" s="24" t="n">
        <f aca="false">E214*Assumptions!$E$51*3/100</f>
        <v>0.06973974</v>
      </c>
      <c r="F236" s="24" t="n">
        <f aca="false">F214*Assumptions!$E$51*3/100</f>
        <v>0.1447074</v>
      </c>
      <c r="G236" s="24" t="n">
        <f aca="false">G214*Assumptions!$E$51*3/100</f>
        <v>0.22503915</v>
      </c>
      <c r="H236" s="24" t="n">
        <f aca="false">H214*Assumptions!$E$51*3/100</f>
        <v>0.31075983</v>
      </c>
      <c r="I236" s="24" t="n">
        <f aca="false">I214*Assumptions!$E$51*3/100</f>
        <v>0.37535625</v>
      </c>
      <c r="J236" s="24" t="n">
        <f aca="false">J214*Assumptions!$E$51*3/100</f>
        <v>0.44359497</v>
      </c>
      <c r="K236" s="24" t="n">
        <f aca="false">K214*Assumptions!$E$51*3/100</f>
        <v>0.48729024</v>
      </c>
      <c r="L236" s="56" t="n">
        <f aca="false">SUM(D236:K236)</f>
        <v>2.07886491</v>
      </c>
    </row>
    <row r="237" customFormat="false" ht="15" hidden="false" customHeight="false" outlineLevel="0" collapsed="false">
      <c r="A237" s="41" t="n">
        <v>31</v>
      </c>
      <c r="B237" s="21" t="s">
        <v>347</v>
      </c>
      <c r="C237" s="11" t="s">
        <v>275</v>
      </c>
      <c r="D237" s="24" t="n">
        <f aca="false">D211*(Assumptions!$E$52+Assumptions!$E$53*1)/100</f>
        <v>0.179365</v>
      </c>
      <c r="E237" s="24" t="n">
        <f aca="false">E211*(Assumptions!$E$52+Assumptions!$E$53*1)/100</f>
        <v>0.37874</v>
      </c>
      <c r="F237" s="24" t="n">
        <f aca="false">F211*(Assumptions!$E$52+Assumptions!$E$53*1)/100</f>
        <v>0.598125</v>
      </c>
      <c r="G237" s="24" t="n">
        <f aca="false">G211*(Assumptions!$E$52+Assumptions!$E$53*1)/100</f>
        <v>0.638145</v>
      </c>
      <c r="H237" s="24" t="n">
        <f aca="false">H211*(Assumptions!$E$52+Assumptions!$E$53*1)/100</f>
        <v>0.678165</v>
      </c>
      <c r="I237" s="24" t="n">
        <f aca="false">I211*(Assumptions!$E$52+Assumptions!$E$53*1)/100</f>
        <v>0.50547</v>
      </c>
      <c r="J237" s="24" t="n">
        <f aca="false">J211*(Assumptions!$E$52+Assumptions!$E$53*1)/100</f>
        <v>0.53215</v>
      </c>
      <c r="K237" s="24" t="n">
        <f aca="false">K211*(Assumptions!$E$52+Assumptions!$E$53*1)/100</f>
        <v>0.332775000000001</v>
      </c>
      <c r="L237" s="56" t="n">
        <f aca="false">SUM(D237:K237)</f>
        <v>3.842935</v>
      </c>
    </row>
    <row r="238" customFormat="false" ht="15" hidden="false" customHeight="false" outlineLevel="0" collapsed="false">
      <c r="A238" s="41" t="n">
        <v>32</v>
      </c>
      <c r="B238" s="21" t="s">
        <v>348</v>
      </c>
      <c r="C238" s="11" t="s">
        <v>275</v>
      </c>
      <c r="D238" s="24" t="n">
        <f aca="false">D218*Assumptions!$E$39</f>
        <v>0.033399</v>
      </c>
      <c r="E238" s="24" t="n">
        <f aca="false">E218*Assumptions!$E$39</f>
        <v>0.103923</v>
      </c>
      <c r="F238" s="24" t="n">
        <f aca="false">F218*Assumptions!$E$39</f>
        <v>0.215298</v>
      </c>
      <c r="G238" s="24" t="n">
        <f aca="false">G218*Assumptions!$E$39</f>
        <v>0.334125</v>
      </c>
      <c r="H238" s="24" t="n">
        <f aca="false">H218*Assumptions!$E$39</f>
        <v>0.460404</v>
      </c>
      <c r="I238" s="24" t="n">
        <f aca="false">I218*Assumptions!$E$39</f>
        <v>0.554526</v>
      </c>
      <c r="J238" s="24" t="n">
        <f aca="false">J218*Assumptions!$E$39</f>
        <v>0.653616</v>
      </c>
      <c r="K238" s="24" t="n">
        <f aca="false">K218*Assumptions!$E$39</f>
        <v>0.715581</v>
      </c>
      <c r="L238" s="56" t="n">
        <f aca="false">SUM(D238:K238)</f>
        <v>3.070872</v>
      </c>
    </row>
    <row r="239" customFormat="false" ht="15" hidden="false" customHeight="false" outlineLevel="0" collapsed="false">
      <c r="A239" s="41" t="n">
        <v>33</v>
      </c>
      <c r="B239" s="21" t="s">
        <v>349</v>
      </c>
      <c r="C239" s="11" t="s">
        <v>275</v>
      </c>
      <c r="D239" s="24" t="n">
        <f aca="false">D218*Assumptions!$E$40</f>
        <v>0.044532</v>
      </c>
      <c r="E239" s="24" t="n">
        <f aca="false">E218*Assumptions!$E$40</f>
        <v>0.138564</v>
      </c>
      <c r="F239" s="24" t="n">
        <f aca="false">F218*Assumptions!$E$40</f>
        <v>0.287064</v>
      </c>
      <c r="G239" s="24" t="n">
        <f aca="false">G218*Assumptions!$E$40</f>
        <v>0.4455</v>
      </c>
      <c r="H239" s="24" t="n">
        <f aca="false">H218*Assumptions!$E$40</f>
        <v>0.613872</v>
      </c>
      <c r="I239" s="24" t="n">
        <f aca="false">I218*Assumptions!$E$40</f>
        <v>0.739368</v>
      </c>
      <c r="J239" s="24" t="n">
        <f aca="false">J218*Assumptions!$E$40</f>
        <v>0.871488</v>
      </c>
      <c r="K239" s="24" t="n">
        <f aca="false">K218*Assumptions!$E$40</f>
        <v>0.954108</v>
      </c>
      <c r="L239" s="56" t="n">
        <f aca="false">SUM(D239:K239)</f>
        <v>4.094496</v>
      </c>
    </row>
    <row r="240" customFormat="false" ht="15" hidden="false" customHeight="false" outlineLevel="0" collapsed="false">
      <c r="A240" s="41" t="n">
        <v>34</v>
      </c>
      <c r="B240" s="21" t="s">
        <v>350</v>
      </c>
      <c r="C240" s="11" t="s">
        <v>275</v>
      </c>
      <c r="D240" s="24" t="n">
        <f aca="false">SUM(D233:D239)</f>
        <v>0.3608384665</v>
      </c>
      <c r="E240" s="24" t="n">
        <f aca="false">SUM(E233:E239)</f>
        <v>0.943782287</v>
      </c>
      <c r="F240" s="24" t="n">
        <f aca="false">SUM(F233:F239)</f>
        <v>1.76949537</v>
      </c>
      <c r="G240" s="24" t="n">
        <f aca="false">SUM(G233:G239)</f>
        <v>2.4575899575</v>
      </c>
      <c r="H240" s="24" t="n">
        <f aca="false">SUM(H233:H239)</f>
        <v>3.1875150915</v>
      </c>
      <c r="I240" s="24" t="n">
        <f aca="false">SUM(I233:I239)</f>
        <v>3.5314243125</v>
      </c>
      <c r="J240" s="24" t="n">
        <f aca="false">SUM(J233:J239)</f>
        <v>4.1027636485</v>
      </c>
      <c r="K240" s="24" t="n">
        <f aca="false">SUM(K233:K239)</f>
        <v>4.247446812</v>
      </c>
      <c r="L240" s="56" t="n">
        <f aca="false">SUM(D240:K240)</f>
        <v>20.6008559455</v>
      </c>
    </row>
    <row r="241" customFormat="false" ht="15" hidden="false" customHeight="false" outlineLevel="0" collapsed="false">
      <c r="A241" s="41" t="n">
        <v>35</v>
      </c>
      <c r="B241" s="17" t="s">
        <v>351</v>
      </c>
      <c r="C241" s="11" t="s">
        <v>275</v>
      </c>
      <c r="D241" s="56" t="n">
        <f aca="false">D232-D240</f>
        <v>0.288976726595</v>
      </c>
      <c r="E241" s="56" t="n">
        <f aca="false">E232-E240</f>
        <v>1.08026279626</v>
      </c>
      <c r="F241" s="56" t="n">
        <f aca="false">F232-F240</f>
        <v>2.42803375725</v>
      </c>
      <c r="G241" s="56" t="n">
        <f aca="false">G232-G240</f>
        <v>4.065448612875</v>
      </c>
      <c r="H241" s="56" t="n">
        <f aca="false">H232-H240</f>
        <v>5.813544913245</v>
      </c>
      <c r="I241" s="56" t="n">
        <f aca="false">I232-I240</f>
        <v>7.330019084625</v>
      </c>
      <c r="J241" s="56" t="n">
        <f aca="false">J232-J240</f>
        <v>8.721725104355</v>
      </c>
      <c r="K241" s="56" t="n">
        <f aca="false">K232-K240</f>
        <v>9.82410987231</v>
      </c>
      <c r="L241" s="56" t="n">
        <f aca="false">SUM(D241:K241)</f>
        <v>39.552120867515</v>
      </c>
    </row>
    <row r="242" customFormat="false" ht="15" hidden="false" customHeight="false" outlineLevel="0" collapsed="false">
      <c r="A242" s="46"/>
      <c r="B242" s="47" t="s">
        <v>352</v>
      </c>
      <c r="C242" s="46"/>
      <c r="D242" s="46"/>
      <c r="E242" s="46"/>
      <c r="F242" s="46"/>
      <c r="G242" s="46"/>
      <c r="H242" s="46"/>
      <c r="I242" s="46"/>
      <c r="J242" s="46"/>
      <c r="K242" s="46"/>
      <c r="L242" s="46"/>
    </row>
    <row r="243" customFormat="false" ht="15" hidden="false" customHeight="false" outlineLevel="0" collapsed="false">
      <c r="A243" s="41" t="n">
        <v>36</v>
      </c>
      <c r="B243" s="21" t="s">
        <v>319</v>
      </c>
      <c r="C243" s="11" t="s">
        <v>316</v>
      </c>
      <c r="D243" s="48" t="n">
        <f aca="false">D206*Assumptions!$E$12</f>
        <v>7.06857142857143</v>
      </c>
      <c r="E243" s="48" t="n">
        <f aca="false">E206*Assumptions!$E$12</f>
        <v>7.33142857142857</v>
      </c>
      <c r="F243" s="48" t="n">
        <f aca="false">F206*Assumptions!$E$12</f>
        <v>7.59428571428571</v>
      </c>
      <c r="G243" s="48" t="n">
        <f aca="false">G206*Assumptions!$E$12</f>
        <v>7.85714285714286</v>
      </c>
      <c r="H243" s="48" t="n">
        <f aca="false">H206*Assumptions!$E$12</f>
        <v>8.12</v>
      </c>
      <c r="I243" s="48" t="n">
        <f aca="false">I206*Assumptions!$E$12</f>
        <v>8.38285714285714</v>
      </c>
      <c r="J243" s="48" t="n">
        <f aca="false">J206*Assumptions!$E$12</f>
        <v>8.64571428571429</v>
      </c>
      <c r="K243" s="48" t="n">
        <f aca="false">K206*Assumptions!$E$12</f>
        <v>8.90857142857143</v>
      </c>
      <c r="L243" s="49" t="n">
        <f aca="false">K243</f>
        <v>8.90857142857143</v>
      </c>
    </row>
    <row r="244" customFormat="false" ht="15" hidden="false" customHeight="false" outlineLevel="0" collapsed="false">
      <c r="A244" s="41" t="n">
        <v>37</v>
      </c>
      <c r="B244" s="21" t="s">
        <v>320</v>
      </c>
      <c r="C244" s="11" t="s">
        <v>316</v>
      </c>
      <c r="D244" s="50" t="n">
        <f aca="false">D243*D207*Assumptions!$E$20</f>
        <v>0.0353428571428572</v>
      </c>
      <c r="E244" s="50" t="n">
        <f aca="false">E243*E207*Assumptions!$E$20</f>
        <v>0.109971428571429</v>
      </c>
      <c r="F244" s="50" t="n">
        <f aca="false">F243*F207*Assumptions!$E$20</f>
        <v>0.227828571428571</v>
      </c>
      <c r="G244" s="50" t="n">
        <f aca="false">G243*G207*Assumptions!$E$20</f>
        <v>0.353571428571429</v>
      </c>
      <c r="H244" s="50" t="n">
        <f aca="false">H243*H207*Assumptions!$E$20</f>
        <v>0.4872</v>
      </c>
      <c r="I244" s="50" t="n">
        <f aca="false">I243*I207*Assumptions!$E$20</f>
        <v>0.5868</v>
      </c>
      <c r="J244" s="50" t="n">
        <f aca="false">J243*J207*Assumptions!$E$20</f>
        <v>0.691657142857143</v>
      </c>
      <c r="K244" s="50" t="n">
        <f aca="false">K243*K207*Assumptions!$E$20</f>
        <v>0.757228571428572</v>
      </c>
      <c r="L244" s="51" t="n">
        <f aca="false">K244</f>
        <v>0.757228571428572</v>
      </c>
    </row>
    <row r="245" customFormat="false" ht="15" hidden="false" customHeight="false" outlineLevel="0" collapsed="false">
      <c r="A245" s="41" t="n">
        <v>38</v>
      </c>
      <c r="B245" s="21" t="s">
        <v>321</v>
      </c>
      <c r="C245" s="11" t="s">
        <v>316</v>
      </c>
      <c r="D245" s="50" t="n">
        <f aca="false">MAX(0,D244-N(C244))</f>
        <v>0.0353428571428572</v>
      </c>
      <c r="E245" s="50" t="n">
        <f aca="false">MAX(0,E244-N(D244))</f>
        <v>0.0746285714285715</v>
      </c>
      <c r="F245" s="50" t="n">
        <f aca="false">MAX(0,F244-N(E244))</f>
        <v>0.117857142857143</v>
      </c>
      <c r="G245" s="50" t="n">
        <f aca="false">MAX(0,G244-N(F244))</f>
        <v>0.125742857142857</v>
      </c>
      <c r="H245" s="50" t="n">
        <f aca="false">MAX(0,H244-N(G244))</f>
        <v>0.133628571428571</v>
      </c>
      <c r="I245" s="50" t="n">
        <f aca="false">MAX(0,I244-N(H244))</f>
        <v>0.0995999999999999</v>
      </c>
      <c r="J245" s="50" t="n">
        <f aca="false">MAX(0,J244-N(I244))</f>
        <v>0.104857142857143</v>
      </c>
      <c r="K245" s="50" t="n">
        <f aca="false">MAX(0,K244-N(J244))</f>
        <v>0.0655714285714286</v>
      </c>
      <c r="L245" s="52" t="n">
        <f aca="false">SUM(D245:K245)</f>
        <v>0.757228571428572</v>
      </c>
    </row>
    <row r="246" customFormat="false" ht="15" hidden="false" customHeight="false" outlineLevel="0" collapsed="false">
      <c r="A246" s="41" t="n">
        <v>39</v>
      </c>
      <c r="B246" s="21" t="s">
        <v>322</v>
      </c>
      <c r="C246" s="11" t="s">
        <v>316</v>
      </c>
      <c r="D246" s="50" t="n">
        <f aca="false">D244*Assumptions!$E$15</f>
        <v>0.0883571428571429</v>
      </c>
      <c r="E246" s="50" t="n">
        <f aca="false">E244*Assumptions!$E$15</f>
        <v>0.274928571428571</v>
      </c>
      <c r="F246" s="50" t="n">
        <f aca="false">F244*Assumptions!$E$15</f>
        <v>0.569571428571429</v>
      </c>
      <c r="G246" s="50" t="n">
        <f aca="false">G244*Assumptions!$E$15</f>
        <v>0.883928571428572</v>
      </c>
      <c r="H246" s="50" t="n">
        <f aca="false">H244*Assumptions!$E$15</f>
        <v>1.218</v>
      </c>
      <c r="I246" s="50" t="n">
        <f aca="false">I244*Assumptions!$E$15</f>
        <v>1.467</v>
      </c>
      <c r="J246" s="50" t="n">
        <f aca="false">J244*Assumptions!$E$15</f>
        <v>1.72914285714286</v>
      </c>
      <c r="K246" s="50" t="n">
        <f aca="false">K244*Assumptions!$E$15</f>
        <v>1.89307142857143</v>
      </c>
      <c r="L246" s="51" t="n">
        <f aca="false">K246</f>
        <v>1.89307142857143</v>
      </c>
    </row>
    <row r="247" customFormat="false" ht="15" hidden="false" customHeight="false" outlineLevel="0" collapsed="false">
      <c r="A247" s="41" t="n">
        <v>40</v>
      </c>
      <c r="B247" s="21" t="s">
        <v>323</v>
      </c>
      <c r="C247" s="11" t="s">
        <v>316</v>
      </c>
      <c r="D247" s="50" t="n">
        <f aca="false">N(C247)+D244*Assumptions!$E$23/100/4</f>
        <v>0.000176714285714286</v>
      </c>
      <c r="E247" s="50" t="n">
        <f aca="false">N(D247)+E244*Assumptions!$E$23/100/4</f>
        <v>0.000726571428571429</v>
      </c>
      <c r="F247" s="50" t="n">
        <f aca="false">N(E247)+F244*Assumptions!$E$23/100/4</f>
        <v>0.00186571428571429</v>
      </c>
      <c r="G247" s="50" t="n">
        <f aca="false">N(F247)+G244*Assumptions!$E$23/100/4</f>
        <v>0.00363357142857143</v>
      </c>
      <c r="H247" s="50" t="n">
        <f aca="false">N(G247)+H244*Assumptions!$E$23/100/4</f>
        <v>0.00606957142857143</v>
      </c>
      <c r="I247" s="50" t="n">
        <f aca="false">N(H247)+I244*Assumptions!$E$23/100/4</f>
        <v>0.00900357142857143</v>
      </c>
      <c r="J247" s="50" t="n">
        <f aca="false">N(I247)+J244*Assumptions!$E$23/100/4</f>
        <v>0.0124618571428571</v>
      </c>
      <c r="K247" s="50" t="n">
        <f aca="false">N(J247)+K244*Assumptions!$E$23/100/4</f>
        <v>0.016248</v>
      </c>
      <c r="L247" s="51" t="n">
        <f aca="false">K247</f>
        <v>0.016248</v>
      </c>
    </row>
    <row r="248" customFormat="false" ht="15" hidden="false" customHeight="false" outlineLevel="0" collapsed="false">
      <c r="A248" s="41" t="n">
        <v>41</v>
      </c>
      <c r="B248" s="21" t="s">
        <v>324</v>
      </c>
      <c r="C248" s="11" t="s">
        <v>316</v>
      </c>
      <c r="D248" s="50" t="n">
        <f aca="false">D246+D247</f>
        <v>0.0885338571428572</v>
      </c>
      <c r="E248" s="50" t="n">
        <f aca="false">E246+E247</f>
        <v>0.275655142857143</v>
      </c>
      <c r="F248" s="50" t="n">
        <f aca="false">F246+F247</f>
        <v>0.571437142857143</v>
      </c>
      <c r="G248" s="50" t="n">
        <f aca="false">G246+G247</f>
        <v>0.887562142857143</v>
      </c>
      <c r="H248" s="50" t="n">
        <f aca="false">H246+H247</f>
        <v>1.22406957142857</v>
      </c>
      <c r="I248" s="50" t="n">
        <f aca="false">I246+I247</f>
        <v>1.47600357142857</v>
      </c>
      <c r="J248" s="50" t="n">
        <f aca="false">J246+J247</f>
        <v>1.74160471428571</v>
      </c>
      <c r="K248" s="50" t="n">
        <f aca="false">K246+K247</f>
        <v>1.90931942857143</v>
      </c>
      <c r="L248" s="51" t="n">
        <f aca="false">K248</f>
        <v>1.90931942857143</v>
      </c>
    </row>
    <row r="249" customFormat="false" ht="15" hidden="false" customHeight="false" outlineLevel="0" collapsed="false">
      <c r="A249" s="41" t="n">
        <v>42</v>
      </c>
      <c r="B249" s="21" t="s">
        <v>325</v>
      </c>
      <c r="C249" s="11" t="s">
        <v>316</v>
      </c>
      <c r="D249" s="50" t="n">
        <f aca="false">D248*Assumptions!$E$31</f>
        <v>0.0442669285714286</v>
      </c>
      <c r="E249" s="50" t="n">
        <f aca="false">E248*Assumptions!$E$31</f>
        <v>0.137827571428571</v>
      </c>
      <c r="F249" s="50" t="n">
        <f aca="false">F248*Assumptions!$E$31</f>
        <v>0.285718571428571</v>
      </c>
      <c r="G249" s="50" t="n">
        <f aca="false">G248*Assumptions!$E$31</f>
        <v>0.443781071428572</v>
      </c>
      <c r="H249" s="50" t="n">
        <f aca="false">H248*Assumptions!$E$31</f>
        <v>0.612034785714286</v>
      </c>
      <c r="I249" s="50" t="n">
        <f aca="false">I248*Assumptions!$E$31</f>
        <v>0.738001785714286</v>
      </c>
      <c r="J249" s="50" t="n">
        <f aca="false">J248*Assumptions!$E$31</f>
        <v>0.870802357142857</v>
      </c>
      <c r="K249" s="50" t="n">
        <f aca="false">K248*Assumptions!$E$31</f>
        <v>0.954659714285715</v>
      </c>
      <c r="L249" s="51" t="n">
        <f aca="false">K249</f>
        <v>0.954659714285715</v>
      </c>
    </row>
    <row r="250" customFormat="false" ht="15" hidden="false" customHeight="false" outlineLevel="0" collapsed="false">
      <c r="A250" s="41" t="n">
        <v>43</v>
      </c>
      <c r="B250" s="21" t="s">
        <v>326</v>
      </c>
      <c r="C250" s="11" t="s">
        <v>316</v>
      </c>
      <c r="D250" s="50" t="n">
        <f aca="false">D244*Assumptions!$E$35</f>
        <v>0.0159042857142857</v>
      </c>
      <c r="E250" s="50" t="n">
        <f aca="false">E244*Assumptions!$E$35</f>
        <v>0.0494871428571429</v>
      </c>
      <c r="F250" s="50" t="n">
        <f aca="false">F244*Assumptions!$E$35</f>
        <v>0.102522857142857</v>
      </c>
      <c r="G250" s="50" t="n">
        <f aca="false">G244*Assumptions!$E$35</f>
        <v>0.159107142857143</v>
      </c>
      <c r="H250" s="50" t="n">
        <f aca="false">H244*Assumptions!$E$35</f>
        <v>0.21924</v>
      </c>
      <c r="I250" s="50" t="n">
        <f aca="false">I244*Assumptions!$E$35</f>
        <v>0.26406</v>
      </c>
      <c r="J250" s="50" t="n">
        <f aca="false">J244*Assumptions!$E$35</f>
        <v>0.311245714285714</v>
      </c>
      <c r="K250" s="50" t="n">
        <f aca="false">K244*Assumptions!$E$35</f>
        <v>0.340752857142857</v>
      </c>
      <c r="L250" s="51" t="n">
        <f aca="false">K250</f>
        <v>0.340752857142857</v>
      </c>
    </row>
    <row r="251" customFormat="false" ht="15" hidden="false" customHeight="false" outlineLevel="0" collapsed="false">
      <c r="A251" s="41" t="n">
        <v>44</v>
      </c>
      <c r="B251" s="21" t="s">
        <v>327</v>
      </c>
      <c r="C251" s="11" t="s">
        <v>316</v>
      </c>
      <c r="D251" s="50" t="n">
        <f aca="false">D250*Assumptions!$E$36/4</f>
        <v>0.00795214285714286</v>
      </c>
      <c r="E251" s="50" t="n">
        <f aca="false">E250*Assumptions!$E$36/4</f>
        <v>0.0247435714285714</v>
      </c>
      <c r="F251" s="50" t="n">
        <f aca="false">F250*Assumptions!$E$36/4</f>
        <v>0.0512614285714286</v>
      </c>
      <c r="G251" s="50" t="n">
        <f aca="false">G250*Assumptions!$E$36/4</f>
        <v>0.0795535714285715</v>
      </c>
      <c r="H251" s="50" t="n">
        <f aca="false">H250*Assumptions!$E$36/4</f>
        <v>0.10962</v>
      </c>
      <c r="I251" s="50" t="n">
        <f aca="false">I250*Assumptions!$E$36/4</f>
        <v>0.13203</v>
      </c>
      <c r="J251" s="50" t="n">
        <f aca="false">J250*Assumptions!$E$36/4</f>
        <v>0.155622857142857</v>
      </c>
      <c r="K251" s="50" t="n">
        <f aca="false">K250*Assumptions!$E$36/4</f>
        <v>0.170376428571429</v>
      </c>
      <c r="L251" s="52" t="n">
        <f aca="false">SUM(D251:K251)</f>
        <v>0.73116</v>
      </c>
    </row>
    <row r="252" customFormat="false" ht="15" hidden="false" customHeight="false" outlineLevel="0" collapsed="false">
      <c r="A252" s="41" t="n">
        <v>45</v>
      </c>
      <c r="B252" s="21" t="s">
        <v>328</v>
      </c>
      <c r="C252" s="11" t="s">
        <v>275</v>
      </c>
      <c r="D252" s="53" t="n">
        <f aca="false">D251*Assumptions!$E$37*Assumptions!$E$15/100</f>
        <v>15.9042857142857</v>
      </c>
      <c r="E252" s="53" t="n">
        <f aca="false">E251*Assumptions!$E$37*Assumptions!$E$15/100</f>
        <v>49.4871428571429</v>
      </c>
      <c r="F252" s="53" t="n">
        <f aca="false">F251*Assumptions!$E$37*Assumptions!$E$15/100</f>
        <v>102.522857142857</v>
      </c>
      <c r="G252" s="53" t="n">
        <f aca="false">G251*Assumptions!$E$37*Assumptions!$E$15/100</f>
        <v>159.107142857143</v>
      </c>
      <c r="H252" s="53" t="n">
        <f aca="false">H251*Assumptions!$E$37*Assumptions!$E$15/100</f>
        <v>219.24</v>
      </c>
      <c r="I252" s="53" t="n">
        <f aca="false">I251*Assumptions!$E$37*Assumptions!$E$15/100</f>
        <v>264.06</v>
      </c>
      <c r="J252" s="53" t="n">
        <f aca="false">J251*Assumptions!$E$37*Assumptions!$E$15/100</f>
        <v>311.245714285714</v>
      </c>
      <c r="K252" s="53" t="n">
        <f aca="false">K251*Assumptions!$E$37*Assumptions!$E$15/100</f>
        <v>340.752857142857</v>
      </c>
      <c r="L252" s="54" t="n">
        <f aca="false">SUM(D252:K252)</f>
        <v>1462.32</v>
      </c>
    </row>
    <row r="253" customFormat="false" ht="15" hidden="false" customHeight="false" outlineLevel="0" collapsed="false">
      <c r="A253" s="41" t="n">
        <v>46</v>
      </c>
      <c r="B253" s="21" t="s">
        <v>329</v>
      </c>
      <c r="C253" s="11" t="s">
        <v>275</v>
      </c>
      <c r="D253" s="34" t="n">
        <f aca="false">D246*Assumptions!$E$7*3/100</f>
        <v>238.564285714286</v>
      </c>
      <c r="E253" s="34" t="n">
        <f aca="false">E246*Assumptions!$E$7*3/100</f>
        <v>742.307142857143</v>
      </c>
      <c r="F253" s="34" t="n">
        <f aca="false">F246*Assumptions!$E$7*3/100</f>
        <v>1537.84285714286</v>
      </c>
      <c r="G253" s="34" t="n">
        <f aca="false">G246*Assumptions!$E$7*3/100</f>
        <v>2386.60714285714</v>
      </c>
      <c r="H253" s="34" t="n">
        <f aca="false">H246*Assumptions!$E$7*3/100</f>
        <v>3288.6</v>
      </c>
      <c r="I253" s="34" t="n">
        <f aca="false">I246*Assumptions!$E$7*3/100</f>
        <v>3960.9</v>
      </c>
      <c r="J253" s="34" t="n">
        <f aca="false">J246*Assumptions!$E$7*3/100</f>
        <v>4668.68571428572</v>
      </c>
      <c r="K253" s="34" t="n">
        <f aca="false">K246*Assumptions!$E$7*3/100</f>
        <v>5111.29285714286</v>
      </c>
      <c r="L253" s="55" t="n">
        <f aca="false">SUM(D253:K253)</f>
        <v>21934.8</v>
      </c>
    </row>
    <row r="254" customFormat="false" ht="15" hidden="false" customHeight="false" outlineLevel="0" collapsed="false">
      <c r="A254" s="41" t="n">
        <v>47</v>
      </c>
      <c r="B254" s="21" t="s">
        <v>330</v>
      </c>
      <c r="C254" s="11" t="s">
        <v>275</v>
      </c>
      <c r="D254" s="53" t="n">
        <f aca="false">D253*Assumptions!$E$42</f>
        <v>4.77128571428572</v>
      </c>
      <c r="E254" s="53" t="n">
        <f aca="false">E253*Assumptions!$E$42</f>
        <v>14.8461428571429</v>
      </c>
      <c r="F254" s="53" t="n">
        <f aca="false">F253*Assumptions!$E$42</f>
        <v>30.7568571428571</v>
      </c>
      <c r="G254" s="53" t="n">
        <f aca="false">G253*Assumptions!$E$42</f>
        <v>47.7321428571429</v>
      </c>
      <c r="H254" s="53" t="n">
        <f aca="false">H253*Assumptions!$E$42</f>
        <v>65.772</v>
      </c>
      <c r="I254" s="53" t="n">
        <f aca="false">I253*Assumptions!$E$42</f>
        <v>79.218</v>
      </c>
      <c r="J254" s="53" t="n">
        <f aca="false">J253*Assumptions!$E$42</f>
        <v>93.3737142857143</v>
      </c>
      <c r="K254" s="53" t="n">
        <f aca="false">K253*Assumptions!$E$42</f>
        <v>102.225857142857</v>
      </c>
      <c r="L254" s="54" t="n">
        <f aca="false">SUM(D254:K254)</f>
        <v>438.696</v>
      </c>
    </row>
    <row r="255" customFormat="false" ht="15" hidden="false" customHeight="false" outlineLevel="0" collapsed="false">
      <c r="A255" s="41" t="n">
        <v>48</v>
      </c>
      <c r="B255" s="21" t="s">
        <v>353</v>
      </c>
      <c r="C255" s="11" t="s">
        <v>275</v>
      </c>
      <c r="D255" s="53" t="n">
        <f aca="false">D253*Assumptions!$E$43</f>
        <v>7.15692857142857</v>
      </c>
      <c r="E255" s="53" t="n">
        <f aca="false">E253*Assumptions!$E$43</f>
        <v>22.2692142857143</v>
      </c>
      <c r="F255" s="53" t="n">
        <f aca="false">F253*Assumptions!$E$43</f>
        <v>46.1352857142857</v>
      </c>
      <c r="G255" s="53" t="n">
        <f aca="false">G253*Assumptions!$E$43</f>
        <v>71.5982142857143</v>
      </c>
      <c r="H255" s="53" t="n">
        <f aca="false">H253*Assumptions!$E$43</f>
        <v>98.658</v>
      </c>
      <c r="I255" s="53" t="n">
        <f aca="false">I253*Assumptions!$E$43</f>
        <v>118.827</v>
      </c>
      <c r="J255" s="53" t="n">
        <f aca="false">J253*Assumptions!$E$43</f>
        <v>140.060571428571</v>
      </c>
      <c r="K255" s="53" t="n">
        <f aca="false">K253*Assumptions!$E$43</f>
        <v>153.338785714286</v>
      </c>
      <c r="L255" s="54" t="n">
        <f aca="false">SUM(D255:K255)</f>
        <v>658.044</v>
      </c>
    </row>
    <row r="256" customFormat="false" ht="15" hidden="false" customHeight="false" outlineLevel="0" collapsed="false">
      <c r="A256" s="41" t="n">
        <v>49</v>
      </c>
      <c r="B256" s="21" t="s">
        <v>331</v>
      </c>
      <c r="C256" s="11" t="s">
        <v>275</v>
      </c>
      <c r="D256" s="53" t="n">
        <f aca="false">D249*Assumptions!$E$7*3/100*Assumptions!$E$44</f>
        <v>1.19520707142857</v>
      </c>
      <c r="E256" s="53" t="n">
        <f aca="false">E249*Assumptions!$E$7*3/100*Assumptions!$E$44</f>
        <v>3.72134442857143</v>
      </c>
      <c r="F256" s="53" t="n">
        <f aca="false">F249*Assumptions!$E$7*3/100*Assumptions!$E$44</f>
        <v>7.71440142857143</v>
      </c>
      <c r="G256" s="53" t="n">
        <f aca="false">G249*Assumptions!$E$7*3/100*Assumptions!$E$44</f>
        <v>11.9820889285714</v>
      </c>
      <c r="H256" s="53" t="n">
        <f aca="false">H249*Assumptions!$E$7*3/100*Assumptions!$E$44</f>
        <v>16.5249392142857</v>
      </c>
      <c r="I256" s="53" t="n">
        <f aca="false">I249*Assumptions!$E$7*3/100*Assumptions!$E$44</f>
        <v>19.9260482142857</v>
      </c>
      <c r="J256" s="53" t="n">
        <f aca="false">J249*Assumptions!$E$7*3/100*Assumptions!$E$44</f>
        <v>23.5116636428572</v>
      </c>
      <c r="K256" s="53" t="n">
        <f aca="false">K249*Assumptions!$E$7*3/100*Assumptions!$E$44</f>
        <v>25.7758122857143</v>
      </c>
      <c r="L256" s="54" t="n">
        <f aca="false">SUM(D256:K256)</f>
        <v>110.351505214286</v>
      </c>
    </row>
    <row r="257" customFormat="false" ht="15" hidden="false" customHeight="false" outlineLevel="0" collapsed="false">
      <c r="A257" s="41" t="n">
        <v>50</v>
      </c>
      <c r="B257" s="21" t="s">
        <v>332</v>
      </c>
      <c r="C257" s="11" t="s">
        <v>316</v>
      </c>
      <c r="D257" s="50" t="n">
        <f aca="false">N(C257)+D248*Assumptions!$E$45/4</f>
        <v>0.000442669285714286</v>
      </c>
      <c r="E257" s="50" t="n">
        <f aca="false">N(D257)+E248*Assumptions!$E$45/4</f>
        <v>0.001820945</v>
      </c>
      <c r="F257" s="50" t="n">
        <f aca="false">N(E257)+F248*Assumptions!$E$45/4</f>
        <v>0.00467813071428571</v>
      </c>
      <c r="G257" s="50" t="n">
        <f aca="false">N(F257)+G248*Assumptions!$E$45/4</f>
        <v>0.00911594142857143</v>
      </c>
      <c r="H257" s="50" t="n">
        <f aca="false">N(G257)+H248*Assumptions!$E$45/4</f>
        <v>0.0152362892857143</v>
      </c>
      <c r="I257" s="50" t="n">
        <f aca="false">N(H257)+I248*Assumptions!$E$45/4</f>
        <v>0.0226163071428571</v>
      </c>
      <c r="J257" s="50" t="n">
        <f aca="false">N(I257)+J248*Assumptions!$E$45/4</f>
        <v>0.0313243307142857</v>
      </c>
      <c r="K257" s="50" t="n">
        <f aca="false">N(J257)+K248*Assumptions!$E$45/4</f>
        <v>0.0408709278571429</v>
      </c>
      <c r="L257" s="51" t="n">
        <f aca="false">K257</f>
        <v>0.0408709278571429</v>
      </c>
    </row>
    <row r="258" customFormat="false" ht="15" hidden="false" customHeight="false" outlineLevel="0" collapsed="false">
      <c r="A258" s="41" t="n">
        <v>51</v>
      </c>
      <c r="B258" s="21" t="s">
        <v>333</v>
      </c>
      <c r="C258" s="11" t="s">
        <v>275</v>
      </c>
      <c r="D258" s="53" t="n">
        <f aca="false">D257*Assumptions!$E$7*3/100</f>
        <v>1.19520707142857</v>
      </c>
      <c r="E258" s="53" t="n">
        <f aca="false">E257*Assumptions!$E$7*3/100</f>
        <v>4.9165515</v>
      </c>
      <c r="F258" s="53" t="n">
        <f aca="false">F257*Assumptions!$E$7*3/100</f>
        <v>12.6309529285714</v>
      </c>
      <c r="G258" s="53" t="n">
        <f aca="false">G257*Assumptions!$E$7*3/100</f>
        <v>24.6130418571429</v>
      </c>
      <c r="H258" s="53" t="n">
        <f aca="false">H257*Assumptions!$E$7*3/100</f>
        <v>41.1379810714286</v>
      </c>
      <c r="I258" s="53" t="n">
        <f aca="false">I257*Assumptions!$E$7*3/100</f>
        <v>61.0640292857143</v>
      </c>
      <c r="J258" s="53" t="n">
        <f aca="false">J257*Assumptions!$E$7*3/100</f>
        <v>84.5756929285714</v>
      </c>
      <c r="K258" s="53" t="n">
        <f aca="false">K257*Assumptions!$E$7*3/100</f>
        <v>110.351505214286</v>
      </c>
      <c r="L258" s="54" t="n">
        <f aca="false">SUM(D258:K258)</f>
        <v>340.484961857143</v>
      </c>
    </row>
    <row r="259" customFormat="false" ht="15" hidden="false" customHeight="false" outlineLevel="0" collapsed="false">
      <c r="A259" s="41" t="n">
        <v>52</v>
      </c>
      <c r="B259" s="21" t="s">
        <v>334</v>
      </c>
      <c r="C259" s="11" t="s">
        <v>275</v>
      </c>
      <c r="D259" s="53" t="n">
        <f aca="false">D247*Assumptions!$E$7*3/100</f>
        <v>0.477128571428571</v>
      </c>
      <c r="E259" s="53" t="n">
        <f aca="false">E247*Assumptions!$E$7*3/100</f>
        <v>1.96174285714286</v>
      </c>
      <c r="F259" s="53" t="n">
        <f aca="false">F247*Assumptions!$E$7*3/100</f>
        <v>5.03742857142857</v>
      </c>
      <c r="G259" s="53" t="n">
        <f aca="false">G247*Assumptions!$E$7*3/100</f>
        <v>9.81064285714286</v>
      </c>
      <c r="H259" s="53" t="n">
        <f aca="false">H247*Assumptions!$E$7*3/100</f>
        <v>16.3878428571429</v>
      </c>
      <c r="I259" s="53" t="n">
        <f aca="false">I247*Assumptions!$E$7*3/100</f>
        <v>24.3096428571429</v>
      </c>
      <c r="J259" s="53" t="n">
        <f aca="false">J247*Assumptions!$E$7*3/100</f>
        <v>33.6470142857143</v>
      </c>
      <c r="K259" s="53" t="n">
        <f aca="false">K247*Assumptions!$E$7*3/100</f>
        <v>43.8696</v>
      </c>
      <c r="L259" s="54" t="n">
        <f aca="false">SUM(D259:K259)</f>
        <v>135.501042857143</v>
      </c>
    </row>
    <row r="260" customFormat="false" ht="15" hidden="false" customHeight="false" outlineLevel="0" collapsed="false">
      <c r="A260" s="41" t="n">
        <v>53</v>
      </c>
      <c r="B260" s="21" t="s">
        <v>335</v>
      </c>
      <c r="C260" s="11" t="s">
        <v>275</v>
      </c>
      <c r="D260" s="53" t="n">
        <f aca="false">D254+D256+D258+D259+D255</f>
        <v>14.795757</v>
      </c>
      <c r="E260" s="53" t="n">
        <f aca="false">E254+E256+E258+E259+E255</f>
        <v>47.7149959285714</v>
      </c>
      <c r="F260" s="53" t="n">
        <f aca="false">F254+F256+F258+F259+F255</f>
        <v>102.274925785714</v>
      </c>
      <c r="G260" s="53" t="n">
        <f aca="false">G254+G256+G258+G259+G255</f>
        <v>165.736130785714</v>
      </c>
      <c r="H260" s="53" t="n">
        <f aca="false">H254+H256+H258+H259+H255</f>
        <v>238.480763142857</v>
      </c>
      <c r="I260" s="53" t="n">
        <f aca="false">I254+I256+I258+I259+I255</f>
        <v>303.344720357143</v>
      </c>
      <c r="J260" s="53" t="n">
        <f aca="false">J254+J256+J258+J259+J255</f>
        <v>375.168656571429</v>
      </c>
      <c r="K260" s="53" t="n">
        <f aca="false">K254+K256+K258+K259+K255</f>
        <v>435.561560357143</v>
      </c>
      <c r="L260" s="54" t="n">
        <f aca="false">SUM(D260:K260)</f>
        <v>1683.07750992857</v>
      </c>
    </row>
    <row r="261" customFormat="false" ht="15" hidden="false" customHeight="false" outlineLevel="0" collapsed="false">
      <c r="A261" s="41" t="n">
        <v>54</v>
      </c>
      <c r="B261" s="21" t="s">
        <v>336</v>
      </c>
      <c r="C261" s="11" t="s">
        <v>275</v>
      </c>
      <c r="D261" s="24" t="n">
        <f aca="false">D244*Assumptions!$E$25*3/100</f>
        <v>0.210996857142857</v>
      </c>
      <c r="E261" s="24" t="n">
        <f aca="false">E244*Assumptions!$E$25*3/100</f>
        <v>0.656529428571429</v>
      </c>
      <c r="F261" s="24" t="n">
        <f aca="false">F244*Assumptions!$E$25*3/100</f>
        <v>1.36013657142857</v>
      </c>
      <c r="G261" s="24" t="n">
        <f aca="false">G244*Assumptions!$E$25*3/100</f>
        <v>2.11082142857143</v>
      </c>
      <c r="H261" s="24" t="n">
        <f aca="false">H244*Assumptions!$E$25*3/100</f>
        <v>2.908584</v>
      </c>
      <c r="I261" s="24" t="n">
        <f aca="false">I244*Assumptions!$E$25*3/100</f>
        <v>3.503196</v>
      </c>
      <c r="J261" s="24" t="n">
        <f aca="false">J244*Assumptions!$E$25*3/100</f>
        <v>4.12919314285714</v>
      </c>
      <c r="K261" s="24" t="n">
        <f aca="false">K244*Assumptions!$E$25*3/100</f>
        <v>4.52065457142857</v>
      </c>
      <c r="L261" s="56" t="n">
        <f aca="false">SUM(D261:K261)</f>
        <v>19.400112</v>
      </c>
    </row>
    <row r="262" customFormat="false" ht="15" hidden="false" customHeight="false" outlineLevel="0" collapsed="false">
      <c r="A262" s="41" t="n">
        <v>55</v>
      </c>
      <c r="B262" s="21" t="s">
        <v>337</v>
      </c>
      <c r="C262" s="11" t="s">
        <v>275</v>
      </c>
      <c r="D262" s="24" t="n">
        <f aca="false">D249*Assumptions!$E$29*3/100</f>
        <v>0.131472777857143</v>
      </c>
      <c r="E262" s="24" t="n">
        <f aca="false">E249*Assumptions!$E$29*3/100</f>
        <v>0.409347887142857</v>
      </c>
      <c r="F262" s="24" t="n">
        <f aca="false">F249*Assumptions!$E$29*3/100</f>
        <v>0.848584157142857</v>
      </c>
      <c r="G262" s="24" t="n">
        <f aca="false">G249*Assumptions!$E$29*3/100</f>
        <v>1.31802978214286</v>
      </c>
      <c r="H262" s="24" t="n">
        <f aca="false">H249*Assumptions!$E$29*3/100</f>
        <v>1.81774331357143</v>
      </c>
      <c r="I262" s="24" t="n">
        <f aca="false">I249*Assumptions!$E$29*3/100</f>
        <v>2.19186530357143</v>
      </c>
      <c r="J262" s="24" t="n">
        <f aca="false">J249*Assumptions!$E$29*3/100</f>
        <v>2.58628300071429</v>
      </c>
      <c r="K262" s="24" t="n">
        <f aca="false">K249*Assumptions!$E$29*3/100</f>
        <v>2.83533935142857</v>
      </c>
      <c r="L262" s="56" t="n">
        <f aca="false">SUM(D262:K262)</f>
        <v>12.1386655735714</v>
      </c>
    </row>
    <row r="263" customFormat="false" ht="15" hidden="false" customHeight="false" outlineLevel="0" collapsed="false">
      <c r="A263" s="41" t="n">
        <v>56</v>
      </c>
      <c r="B263" s="21" t="s">
        <v>338</v>
      </c>
      <c r="C263" s="11" t="s">
        <v>275</v>
      </c>
      <c r="D263" s="24" t="n">
        <f aca="false">D244*Assumptions!$E$33*Assumptions!$E$32*3/100</f>
        <v>0.0209936571428572</v>
      </c>
      <c r="E263" s="24" t="n">
        <f aca="false">E244*Assumptions!$E$33*Assumptions!$E$32*3/100</f>
        <v>0.0653230285714286</v>
      </c>
      <c r="F263" s="24" t="n">
        <f aca="false">F244*Assumptions!$E$33*Assumptions!$E$32*3/100</f>
        <v>0.135330171428571</v>
      </c>
      <c r="G263" s="24" t="n">
        <f aca="false">G244*Assumptions!$E$33*Assumptions!$E$32*3/100</f>
        <v>0.210021428571429</v>
      </c>
      <c r="H263" s="24" t="n">
        <f aca="false">H244*Assumptions!$E$33*Assumptions!$E$32*3/100</f>
        <v>0.2893968</v>
      </c>
      <c r="I263" s="24" t="n">
        <f aca="false">I244*Assumptions!$E$33*Assumptions!$E$32*3/100</f>
        <v>0.3485592</v>
      </c>
      <c r="J263" s="24" t="n">
        <f aca="false">J244*Assumptions!$E$33*Assumptions!$E$32*3/100</f>
        <v>0.410844342857143</v>
      </c>
      <c r="K263" s="24" t="n">
        <f aca="false">K244*Assumptions!$E$33*Assumptions!$E$32*3/100</f>
        <v>0.449793771428572</v>
      </c>
      <c r="L263" s="56" t="n">
        <f aca="false">SUM(D263:K263)</f>
        <v>1.9302624</v>
      </c>
    </row>
    <row r="264" customFormat="false" ht="15" hidden="false" customHeight="false" outlineLevel="0" collapsed="false">
      <c r="A264" s="41" t="n">
        <v>57</v>
      </c>
      <c r="B264" s="21" t="s">
        <v>339</v>
      </c>
      <c r="C264" s="11" t="s">
        <v>275</v>
      </c>
      <c r="D264" s="24" t="n">
        <f aca="false">D252*Assumptions!$E$38</f>
        <v>0.318085714285714</v>
      </c>
      <c r="E264" s="24" t="n">
        <f aca="false">E252*Assumptions!$E$38</f>
        <v>0.989742857142858</v>
      </c>
      <c r="F264" s="24" t="n">
        <f aca="false">F252*Assumptions!$E$38</f>
        <v>2.05045714285714</v>
      </c>
      <c r="G264" s="24" t="n">
        <f aca="false">G252*Assumptions!$E$38</f>
        <v>3.18214285714286</v>
      </c>
      <c r="H264" s="24" t="n">
        <f aca="false">H252*Assumptions!$E$38</f>
        <v>4.3848</v>
      </c>
      <c r="I264" s="24" t="n">
        <f aca="false">I252*Assumptions!$E$38</f>
        <v>5.2812</v>
      </c>
      <c r="J264" s="24" t="n">
        <f aca="false">J252*Assumptions!$E$38</f>
        <v>6.22491428571429</v>
      </c>
      <c r="K264" s="24" t="n">
        <f aca="false">K252*Assumptions!$E$38</f>
        <v>6.81505714285715</v>
      </c>
      <c r="L264" s="56" t="n">
        <f aca="false">SUM(D264:K264)</f>
        <v>29.2464</v>
      </c>
    </row>
    <row r="265" customFormat="false" ht="15" hidden="false" customHeight="false" outlineLevel="0" collapsed="false">
      <c r="A265" s="41" t="n">
        <v>58</v>
      </c>
      <c r="B265" s="21" t="s">
        <v>340</v>
      </c>
      <c r="C265" s="11" t="s">
        <v>275</v>
      </c>
      <c r="D265" s="24" t="n">
        <f aca="false">D260*Assumptions!$E$6</f>
        <v>0.0059183028</v>
      </c>
      <c r="E265" s="24" t="n">
        <f aca="false">E260*Assumptions!$E$6</f>
        <v>0.0190859983714286</v>
      </c>
      <c r="F265" s="24" t="n">
        <f aca="false">F260*Assumptions!$E$6</f>
        <v>0.0409099703142857</v>
      </c>
      <c r="G265" s="24" t="n">
        <f aca="false">G260*Assumptions!$E$6</f>
        <v>0.0662944523142857</v>
      </c>
      <c r="H265" s="24" t="n">
        <f aca="false">H260*Assumptions!$E$6</f>
        <v>0.0953923052571429</v>
      </c>
      <c r="I265" s="24" t="n">
        <f aca="false">I260*Assumptions!$E$6</f>
        <v>0.121337888142857</v>
      </c>
      <c r="J265" s="24" t="n">
        <f aca="false">J260*Assumptions!$E$6</f>
        <v>0.150067462628571</v>
      </c>
      <c r="K265" s="24" t="n">
        <f aca="false">K260*Assumptions!$E$6</f>
        <v>0.174224624142857</v>
      </c>
      <c r="L265" s="56" t="n">
        <f aca="false">SUM(D265:K265)</f>
        <v>0.673231003971429</v>
      </c>
    </row>
    <row r="266" customFormat="false" ht="15" hidden="false" customHeight="false" outlineLevel="0" collapsed="false">
      <c r="A266" s="41" t="n">
        <v>59</v>
      </c>
      <c r="B266" s="21" t="s">
        <v>341</v>
      </c>
      <c r="C266" s="11" t="s">
        <v>275</v>
      </c>
      <c r="D266" s="24" t="n">
        <f aca="false">(D257+D247)*Assumptions!$E$9*3/100</f>
        <v>0.00167233564285714</v>
      </c>
      <c r="E266" s="24" t="n">
        <f aca="false">(E257+E247)*Assumptions!$E$9*3/100</f>
        <v>0.00687829435714286</v>
      </c>
      <c r="F266" s="24" t="n">
        <f aca="false">(F257+F247)*Assumptions!$E$9*3/100</f>
        <v>0.0176683815</v>
      </c>
      <c r="G266" s="24" t="n">
        <f aca="false">(G257+G247)*Assumptions!$E$9*3/100</f>
        <v>0.0344236847142857</v>
      </c>
      <c r="H266" s="24" t="n">
        <f aca="false">(H257+H247)*Assumptions!$E$9*3/100</f>
        <v>0.0575258239285714</v>
      </c>
      <c r="I266" s="24" t="n">
        <f aca="false">(I257+I247)*Assumptions!$E$9*3/100</f>
        <v>0.0853736721428572</v>
      </c>
      <c r="J266" s="24" t="n">
        <f aca="false">(J257+J247)*Assumptions!$E$9*3/100</f>
        <v>0.118222707214286</v>
      </c>
      <c r="K266" s="24" t="n">
        <f aca="false">(K257+K247)*Assumptions!$E$9*3/100</f>
        <v>0.154221105214286</v>
      </c>
      <c r="L266" s="56" t="n">
        <f aca="false">SUM(D266:K266)</f>
        <v>0.475986004714286</v>
      </c>
    </row>
    <row r="267" customFormat="false" ht="15" hidden="false" customHeight="false" outlineLevel="0" collapsed="false">
      <c r="A267" s="41" t="n">
        <v>60</v>
      </c>
      <c r="B267" s="21" t="s">
        <v>342</v>
      </c>
      <c r="C267" s="11" t="s">
        <v>275</v>
      </c>
      <c r="D267" s="24" t="n">
        <f aca="false">SUM(D261:D266)</f>
        <v>0.689139644871429</v>
      </c>
      <c r="E267" s="24" t="n">
        <f aca="false">SUM(E261:E266)</f>
        <v>2.14690749415714</v>
      </c>
      <c r="F267" s="24" t="n">
        <f aca="false">SUM(F261:F266)</f>
        <v>4.45308639467143</v>
      </c>
      <c r="G267" s="24" t="n">
        <f aca="false">SUM(G261:G266)</f>
        <v>6.92173363345714</v>
      </c>
      <c r="H267" s="24" t="n">
        <f aca="false">SUM(H261:H266)</f>
        <v>9.55344224275715</v>
      </c>
      <c r="I267" s="24" t="n">
        <f aca="false">SUM(I261:I266)</f>
        <v>11.5315320638571</v>
      </c>
      <c r="J267" s="24" t="n">
        <f aca="false">SUM(J261:J266)</f>
        <v>13.6195249419857</v>
      </c>
      <c r="K267" s="24" t="n">
        <f aca="false">SUM(K261:K266)</f>
        <v>14.9492905665</v>
      </c>
      <c r="L267" s="56" t="n">
        <f aca="false">SUM(D267:K267)</f>
        <v>63.8646569822572</v>
      </c>
    </row>
    <row r="268" customFormat="false" ht="15" hidden="false" customHeight="false" outlineLevel="0" collapsed="false">
      <c r="A268" s="41" t="n">
        <v>61</v>
      </c>
      <c r="B268" s="21" t="s">
        <v>343</v>
      </c>
      <c r="C268" s="11" t="s">
        <v>275</v>
      </c>
      <c r="D268" s="24" t="n">
        <f aca="false">D248*Assumptions!$E$47*3/100</f>
        <v>0.0664003928571429</v>
      </c>
      <c r="E268" s="24" t="n">
        <f aca="false">E248*Assumptions!$E$47*3/100</f>
        <v>0.206741357142857</v>
      </c>
      <c r="F268" s="24" t="n">
        <f aca="false">F248*Assumptions!$E$47*3/100</f>
        <v>0.428577857142857</v>
      </c>
      <c r="G268" s="24" t="n">
        <f aca="false">G248*Assumptions!$E$47*3/100</f>
        <v>0.665671607142857</v>
      </c>
      <c r="H268" s="24" t="n">
        <f aca="false">H248*Assumptions!$E$47*3/100</f>
        <v>0.918052178571429</v>
      </c>
      <c r="I268" s="24" t="n">
        <f aca="false">I248*Assumptions!$E$47*3/100</f>
        <v>1.10700267857143</v>
      </c>
      <c r="J268" s="24" t="n">
        <f aca="false">J248*Assumptions!$E$47*3/100</f>
        <v>1.30620353571429</v>
      </c>
      <c r="K268" s="24" t="n">
        <f aca="false">K248*Assumptions!$E$47*3/100</f>
        <v>1.43198957142857</v>
      </c>
      <c r="L268" s="56" t="n">
        <f aca="false">SUM(D268:K268)</f>
        <v>6.13063917857143</v>
      </c>
    </row>
    <row r="269" customFormat="false" ht="15" hidden="false" customHeight="false" outlineLevel="0" collapsed="false">
      <c r="A269" s="41" t="n">
        <v>62</v>
      </c>
      <c r="B269" s="21" t="s">
        <v>344</v>
      </c>
      <c r="C269" s="11" t="s">
        <v>275</v>
      </c>
      <c r="D269" s="24" t="n">
        <f aca="false">D249*Assumptions!$E$48*90*Assumptions!$E$49/100</f>
        <v>0.0478082828571429</v>
      </c>
      <c r="E269" s="24" t="n">
        <f aca="false">E249*Assumptions!$E$48*90*Assumptions!$E$49/100</f>
        <v>0.148853777142857</v>
      </c>
      <c r="F269" s="24" t="n">
        <f aca="false">F249*Assumptions!$E$48*90*Assumptions!$E$49/100</f>
        <v>0.308576057142857</v>
      </c>
      <c r="G269" s="24" t="n">
        <f aca="false">G249*Assumptions!$E$48*90*Assumptions!$E$49/100</f>
        <v>0.479283557142857</v>
      </c>
      <c r="H269" s="24" t="n">
        <f aca="false">H249*Assumptions!$E$48*90*Assumptions!$E$49/100</f>
        <v>0.660997568571429</v>
      </c>
      <c r="I269" s="24" t="n">
        <f aca="false">I249*Assumptions!$E$48*90*Assumptions!$E$49/100</f>
        <v>0.797041928571429</v>
      </c>
      <c r="J269" s="24" t="n">
        <f aca="false">J249*Assumptions!$E$48*90*Assumptions!$E$49/100</f>
        <v>0.940466545714286</v>
      </c>
      <c r="K269" s="24" t="n">
        <f aca="false">K249*Assumptions!$E$48*90*Assumptions!$E$49/100</f>
        <v>1.03103249142857</v>
      </c>
      <c r="L269" s="56" t="n">
        <f aca="false">SUM(D269:K269)</f>
        <v>4.41406020857143</v>
      </c>
    </row>
    <row r="270" customFormat="false" ht="15" hidden="false" customHeight="false" outlineLevel="0" collapsed="false">
      <c r="A270" s="41" t="n">
        <v>63</v>
      </c>
      <c r="B270" s="21" t="s">
        <v>345</v>
      </c>
      <c r="C270" s="11" t="s">
        <v>275</v>
      </c>
      <c r="D270" s="24" t="n">
        <f aca="false">D244*Assumptions!$E$50*3/100</f>
        <v>0.0159042857142857</v>
      </c>
      <c r="E270" s="24" t="n">
        <f aca="false">E244*Assumptions!$E$50*3/100</f>
        <v>0.0494871428571429</v>
      </c>
      <c r="F270" s="24" t="n">
        <f aca="false">F244*Assumptions!$E$50*3/100</f>
        <v>0.102522857142857</v>
      </c>
      <c r="G270" s="24" t="n">
        <f aca="false">G244*Assumptions!$E$50*3/100</f>
        <v>0.159107142857143</v>
      </c>
      <c r="H270" s="24" t="n">
        <f aca="false">H244*Assumptions!$E$50*3/100</f>
        <v>0.21924</v>
      </c>
      <c r="I270" s="24" t="n">
        <f aca="false">I244*Assumptions!$E$50*3/100</f>
        <v>0.26406</v>
      </c>
      <c r="J270" s="24" t="n">
        <f aca="false">J244*Assumptions!$E$50*3/100</f>
        <v>0.311245714285714</v>
      </c>
      <c r="K270" s="24" t="n">
        <f aca="false">K244*Assumptions!$E$50*3/100</f>
        <v>0.340752857142857</v>
      </c>
      <c r="L270" s="56" t="n">
        <f aca="false">SUM(D270:K270)</f>
        <v>1.46232</v>
      </c>
    </row>
    <row r="271" customFormat="false" ht="15" hidden="false" customHeight="false" outlineLevel="0" collapsed="false">
      <c r="A271" s="41" t="n">
        <v>64</v>
      </c>
      <c r="B271" s="21" t="s">
        <v>346</v>
      </c>
      <c r="C271" s="11" t="s">
        <v>275</v>
      </c>
      <c r="D271" s="24" t="n">
        <f aca="false">D248*Assumptions!$E$51*3/100</f>
        <v>0.0318721885714286</v>
      </c>
      <c r="E271" s="24" t="n">
        <f aca="false">E248*Assumptions!$E$51*3/100</f>
        <v>0.0992358514285714</v>
      </c>
      <c r="F271" s="24" t="n">
        <f aca="false">F248*Assumptions!$E$51*3/100</f>
        <v>0.205717371428571</v>
      </c>
      <c r="G271" s="24" t="n">
        <f aca="false">G248*Assumptions!$E$51*3/100</f>
        <v>0.319522371428572</v>
      </c>
      <c r="H271" s="24" t="n">
        <f aca="false">H248*Assumptions!$E$51*3/100</f>
        <v>0.440665045714286</v>
      </c>
      <c r="I271" s="24" t="n">
        <f aca="false">I248*Assumptions!$E$51*3/100</f>
        <v>0.531361285714286</v>
      </c>
      <c r="J271" s="24" t="n">
        <f aca="false">J248*Assumptions!$E$51*3/100</f>
        <v>0.626977697142857</v>
      </c>
      <c r="K271" s="24" t="n">
        <f aca="false">K248*Assumptions!$E$51*3/100</f>
        <v>0.687354994285714</v>
      </c>
      <c r="L271" s="56" t="n">
        <f aca="false">SUM(D271:K271)</f>
        <v>2.94270680571429</v>
      </c>
    </row>
    <row r="272" customFormat="false" ht="15" hidden="false" customHeight="false" outlineLevel="0" collapsed="false">
      <c r="A272" s="41" t="n">
        <v>65</v>
      </c>
      <c r="B272" s="21" t="s">
        <v>347</v>
      </c>
      <c r="C272" s="11" t="s">
        <v>275</v>
      </c>
      <c r="D272" s="24" t="n">
        <f aca="false">D245*(Assumptions!$E$52+Assumptions!$E$53*Assumptions!$E$15)/100</f>
        <v>0.176714285714286</v>
      </c>
      <c r="E272" s="24" t="n">
        <f aca="false">E245*(Assumptions!$E$52+Assumptions!$E$53*Assumptions!$E$15)/100</f>
        <v>0.373142857142857</v>
      </c>
      <c r="F272" s="24" t="n">
        <f aca="false">F245*(Assumptions!$E$52+Assumptions!$E$53*Assumptions!$E$15)/100</f>
        <v>0.589285714285714</v>
      </c>
      <c r="G272" s="24" t="n">
        <f aca="false">G245*(Assumptions!$E$52+Assumptions!$E$53*Assumptions!$E$15)/100</f>
        <v>0.628714285714286</v>
      </c>
      <c r="H272" s="24" t="n">
        <f aca="false">H245*(Assumptions!$E$52+Assumptions!$E$53*Assumptions!$E$15)/100</f>
        <v>0.668142857142857</v>
      </c>
      <c r="I272" s="24" t="n">
        <f aca="false">I245*(Assumptions!$E$52+Assumptions!$E$53*Assumptions!$E$15)/100</f>
        <v>0.498</v>
      </c>
      <c r="J272" s="24" t="n">
        <f aca="false">J245*(Assumptions!$E$52+Assumptions!$E$53*Assumptions!$E$15)/100</f>
        <v>0.524285714285715</v>
      </c>
      <c r="K272" s="24" t="n">
        <f aca="false">K245*(Assumptions!$E$52+Assumptions!$E$53*Assumptions!$E$15)/100</f>
        <v>0.327857142857143</v>
      </c>
      <c r="L272" s="56" t="n">
        <f aca="false">SUM(D272:K272)</f>
        <v>3.78614285714286</v>
      </c>
    </row>
    <row r="273" customFormat="false" ht="15" hidden="false" customHeight="false" outlineLevel="0" collapsed="false">
      <c r="A273" s="41" t="n">
        <v>66</v>
      </c>
      <c r="B273" s="21" t="s">
        <v>348</v>
      </c>
      <c r="C273" s="11" t="s">
        <v>275</v>
      </c>
      <c r="D273" s="24" t="n">
        <f aca="false">D252*Assumptions!$E$39</f>
        <v>0.0477128571428572</v>
      </c>
      <c r="E273" s="24" t="n">
        <f aca="false">E252*Assumptions!$E$39</f>
        <v>0.148461428571429</v>
      </c>
      <c r="F273" s="24" t="n">
        <f aca="false">F252*Assumptions!$E$39</f>
        <v>0.307568571428571</v>
      </c>
      <c r="G273" s="24" t="n">
        <f aca="false">G252*Assumptions!$E$39</f>
        <v>0.477321428571429</v>
      </c>
      <c r="H273" s="24" t="n">
        <f aca="false">H252*Assumptions!$E$39</f>
        <v>0.65772</v>
      </c>
      <c r="I273" s="24" t="n">
        <f aca="false">I252*Assumptions!$E$39</f>
        <v>0.79218</v>
      </c>
      <c r="J273" s="24" t="n">
        <f aca="false">J252*Assumptions!$E$39</f>
        <v>0.933737142857143</v>
      </c>
      <c r="K273" s="24" t="n">
        <f aca="false">K252*Assumptions!$E$39</f>
        <v>1.02225857142857</v>
      </c>
      <c r="L273" s="56" t="n">
        <f aca="false">SUM(D273:K273)</f>
        <v>4.38696</v>
      </c>
    </row>
    <row r="274" customFormat="false" ht="15" hidden="false" customHeight="false" outlineLevel="0" collapsed="false">
      <c r="A274" s="41" t="n">
        <v>67</v>
      </c>
      <c r="B274" s="21" t="s">
        <v>349</v>
      </c>
      <c r="C274" s="11" t="s">
        <v>275</v>
      </c>
      <c r="D274" s="24" t="n">
        <f aca="false">D252*Assumptions!$E$40</f>
        <v>0.0636171428571429</v>
      </c>
      <c r="E274" s="24" t="n">
        <f aca="false">E252*Assumptions!$E$40</f>
        <v>0.197948571428572</v>
      </c>
      <c r="F274" s="24" t="n">
        <f aca="false">F252*Assumptions!$E$40</f>
        <v>0.410091428571429</v>
      </c>
      <c r="G274" s="24" t="n">
        <f aca="false">G252*Assumptions!$E$40</f>
        <v>0.636428571428572</v>
      </c>
      <c r="H274" s="24" t="n">
        <f aca="false">H252*Assumptions!$E$40</f>
        <v>0.87696</v>
      </c>
      <c r="I274" s="24" t="n">
        <f aca="false">I252*Assumptions!$E$40</f>
        <v>1.05624</v>
      </c>
      <c r="J274" s="24" t="n">
        <f aca="false">J252*Assumptions!$E$40</f>
        <v>1.24498285714286</v>
      </c>
      <c r="K274" s="24" t="n">
        <f aca="false">K252*Assumptions!$E$40</f>
        <v>1.36301142857143</v>
      </c>
      <c r="L274" s="56" t="n">
        <f aca="false">SUM(D274:K274)</f>
        <v>5.84928</v>
      </c>
    </row>
    <row r="275" customFormat="false" ht="15" hidden="false" customHeight="false" outlineLevel="0" collapsed="false">
      <c r="A275" s="41" t="n">
        <v>68</v>
      </c>
      <c r="B275" s="21" t="s">
        <v>350</v>
      </c>
      <c r="C275" s="11" t="s">
        <v>275</v>
      </c>
      <c r="D275" s="24" t="n">
        <f aca="false">SUM(D268:D274)</f>
        <v>0.450029435714286</v>
      </c>
      <c r="E275" s="24" t="n">
        <f aca="false">SUM(E268:E274)</f>
        <v>1.22387098571429</v>
      </c>
      <c r="F275" s="24" t="n">
        <f aca="false">SUM(F268:F274)</f>
        <v>2.35233985714286</v>
      </c>
      <c r="G275" s="24" t="n">
        <f aca="false">SUM(G268:G274)</f>
        <v>3.36604896428572</v>
      </c>
      <c r="H275" s="24" t="n">
        <f aca="false">SUM(H268:H274)</f>
        <v>4.44177765</v>
      </c>
      <c r="I275" s="24" t="n">
        <f aca="false">SUM(I268:I274)</f>
        <v>5.04588589285714</v>
      </c>
      <c r="J275" s="24" t="n">
        <f aca="false">SUM(J268:J274)</f>
        <v>5.88789920714286</v>
      </c>
      <c r="K275" s="24" t="n">
        <f aca="false">SUM(K268:K274)</f>
        <v>6.20425705714286</v>
      </c>
      <c r="L275" s="56" t="n">
        <f aca="false">SUM(D275:K275)</f>
        <v>28.97210905</v>
      </c>
    </row>
    <row r="276" customFormat="false" ht="15" hidden="false" customHeight="false" outlineLevel="0" collapsed="false">
      <c r="A276" s="41" t="n">
        <v>69</v>
      </c>
      <c r="B276" s="17" t="s">
        <v>351</v>
      </c>
      <c r="C276" s="11" t="s">
        <v>275</v>
      </c>
      <c r="D276" s="56" t="n">
        <f aca="false">D267-D275</f>
        <v>0.239110209157143</v>
      </c>
      <c r="E276" s="56" t="n">
        <f aca="false">E267-E275</f>
        <v>0.923036508442857</v>
      </c>
      <c r="F276" s="56" t="n">
        <f aca="false">F267-F275</f>
        <v>2.10074653752857</v>
      </c>
      <c r="G276" s="56" t="n">
        <f aca="false">G267-G275</f>
        <v>3.55568466917143</v>
      </c>
      <c r="H276" s="56" t="n">
        <f aca="false">H267-H275</f>
        <v>5.11166459275714</v>
      </c>
      <c r="I276" s="56" t="n">
        <f aca="false">I267-I275</f>
        <v>6.485646171</v>
      </c>
      <c r="J276" s="56" t="n">
        <f aca="false">J267-J275</f>
        <v>7.73162573484286</v>
      </c>
      <c r="K276" s="56" t="n">
        <f aca="false">K267-K275</f>
        <v>8.74503350935715</v>
      </c>
      <c r="L276" s="56" t="n">
        <f aca="false">SUM(D276:K276)</f>
        <v>34.8925479322572</v>
      </c>
    </row>
    <row r="277" customFormat="false" ht="15" hidden="false" customHeight="false" outlineLevel="0" collapsed="false">
      <c r="A277" s="46"/>
      <c r="B277" s="47" t="s">
        <v>354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</row>
    <row r="278" customFormat="false" ht="15" hidden="false" customHeight="false" outlineLevel="0" collapsed="false">
      <c r="A278" s="41" t="n">
        <v>70</v>
      </c>
      <c r="B278" s="21" t="s">
        <v>319</v>
      </c>
      <c r="C278" s="11" t="s">
        <v>316</v>
      </c>
      <c r="D278" s="48" t="n">
        <f aca="false">D206*Assumptions!$E$13</f>
        <v>0.353428571428571</v>
      </c>
      <c r="E278" s="48" t="n">
        <f aca="false">E206*Assumptions!$E$13</f>
        <v>0.366571428571429</v>
      </c>
      <c r="F278" s="48" t="n">
        <f aca="false">F206*Assumptions!$E$13</f>
        <v>0.379714285714286</v>
      </c>
      <c r="G278" s="48" t="n">
        <f aca="false">G206*Assumptions!$E$13</f>
        <v>0.392857142857143</v>
      </c>
      <c r="H278" s="48" t="n">
        <f aca="false">H206*Assumptions!$E$13</f>
        <v>0.406</v>
      </c>
      <c r="I278" s="48" t="n">
        <f aca="false">I206*Assumptions!$E$13</f>
        <v>0.419142857142857</v>
      </c>
      <c r="J278" s="48" t="n">
        <f aca="false">J206*Assumptions!$E$13</f>
        <v>0.432285714285714</v>
      </c>
      <c r="K278" s="48" t="n">
        <f aca="false">K206*Assumptions!$E$13</f>
        <v>0.445428571428571</v>
      </c>
      <c r="L278" s="49" t="n">
        <f aca="false">K278</f>
        <v>0.445428571428571</v>
      </c>
    </row>
    <row r="279" customFormat="false" ht="15" hidden="false" customHeight="false" outlineLevel="0" collapsed="false">
      <c r="A279" s="41" t="n">
        <v>71</v>
      </c>
      <c r="B279" s="21" t="s">
        <v>320</v>
      </c>
      <c r="C279" s="11" t="s">
        <v>316</v>
      </c>
      <c r="D279" s="50" t="n">
        <f aca="false">D278*D207*Assumptions!$E$21</f>
        <v>0.00141371428571429</v>
      </c>
      <c r="E279" s="50" t="n">
        <f aca="false">E278*E207*Assumptions!$E$21</f>
        <v>0.00439885714285714</v>
      </c>
      <c r="F279" s="50" t="n">
        <f aca="false">F278*F207*Assumptions!$E$21</f>
        <v>0.00911314285714286</v>
      </c>
      <c r="G279" s="50" t="n">
        <f aca="false">G278*G207*Assumptions!$E$21</f>
        <v>0.0141428571428571</v>
      </c>
      <c r="H279" s="50" t="n">
        <f aca="false">H278*H207*Assumptions!$E$21</f>
        <v>0.019488</v>
      </c>
      <c r="I279" s="50" t="n">
        <f aca="false">I278*I207*Assumptions!$E$21</f>
        <v>0.023472</v>
      </c>
      <c r="J279" s="50" t="n">
        <f aca="false">J278*J207*Assumptions!$E$21</f>
        <v>0.0276662857142857</v>
      </c>
      <c r="K279" s="50" t="n">
        <f aca="false">K278*K207*Assumptions!$E$21</f>
        <v>0.0302891428571429</v>
      </c>
      <c r="L279" s="51" t="n">
        <f aca="false">K279</f>
        <v>0.0302891428571429</v>
      </c>
    </row>
    <row r="280" customFormat="false" ht="15" hidden="false" customHeight="false" outlineLevel="0" collapsed="false">
      <c r="A280" s="41" t="n">
        <v>72</v>
      </c>
      <c r="B280" s="21" t="s">
        <v>321</v>
      </c>
      <c r="C280" s="11" t="s">
        <v>316</v>
      </c>
      <c r="D280" s="50" t="n">
        <f aca="false">MAX(0,D279-N(C279))</f>
        <v>0.00141371428571429</v>
      </c>
      <c r="E280" s="50" t="n">
        <f aca="false">MAX(0,E279-N(D279))</f>
        <v>0.00298514285714286</v>
      </c>
      <c r="F280" s="50" t="n">
        <f aca="false">MAX(0,F279-N(E279))</f>
        <v>0.00471428571428571</v>
      </c>
      <c r="G280" s="50" t="n">
        <f aca="false">MAX(0,G279-N(F279))</f>
        <v>0.00502971428571429</v>
      </c>
      <c r="H280" s="50" t="n">
        <f aca="false">MAX(0,H279-N(G279))</f>
        <v>0.00534514285714286</v>
      </c>
      <c r="I280" s="50" t="n">
        <f aca="false">MAX(0,I279-N(H279))</f>
        <v>0.00398399999999999</v>
      </c>
      <c r="J280" s="50" t="n">
        <f aca="false">MAX(0,J279-N(I279))</f>
        <v>0.00419428571428572</v>
      </c>
      <c r="K280" s="50" t="n">
        <f aca="false">MAX(0,K279-N(J279))</f>
        <v>0.00262285714285714</v>
      </c>
      <c r="L280" s="52" t="n">
        <f aca="false">SUM(D280:K280)</f>
        <v>0.0302891428571429</v>
      </c>
    </row>
    <row r="281" customFormat="false" ht="15" hidden="false" customHeight="false" outlineLevel="0" collapsed="false">
      <c r="A281" s="41" t="n">
        <v>73</v>
      </c>
      <c r="B281" s="21" t="s">
        <v>322</v>
      </c>
      <c r="C281" s="11" t="s">
        <v>316</v>
      </c>
      <c r="D281" s="50" t="n">
        <f aca="false">D279*Assumptions!$E$16</f>
        <v>0.0141371428571429</v>
      </c>
      <c r="E281" s="50" t="n">
        <f aca="false">E279*Assumptions!$E$16</f>
        <v>0.0439885714285714</v>
      </c>
      <c r="F281" s="50" t="n">
        <f aca="false">F279*Assumptions!$E$16</f>
        <v>0.0911314285714286</v>
      </c>
      <c r="G281" s="50" t="n">
        <f aca="false">G279*Assumptions!$E$16</f>
        <v>0.141428571428571</v>
      </c>
      <c r="H281" s="50" t="n">
        <f aca="false">H279*Assumptions!$E$16</f>
        <v>0.19488</v>
      </c>
      <c r="I281" s="50" t="n">
        <f aca="false">I279*Assumptions!$E$16</f>
        <v>0.23472</v>
      </c>
      <c r="J281" s="50" t="n">
        <f aca="false">J279*Assumptions!$E$16</f>
        <v>0.276662857142857</v>
      </c>
      <c r="K281" s="50" t="n">
        <f aca="false">K279*Assumptions!$E$16</f>
        <v>0.302891428571429</v>
      </c>
      <c r="L281" s="51" t="n">
        <f aca="false">K281</f>
        <v>0.302891428571429</v>
      </c>
    </row>
    <row r="282" customFormat="false" ht="15" hidden="false" customHeight="false" outlineLevel="0" collapsed="false">
      <c r="A282" s="41" t="n">
        <v>74</v>
      </c>
      <c r="B282" s="21" t="s">
        <v>323</v>
      </c>
      <c r="C282" s="11" t="s">
        <v>316</v>
      </c>
      <c r="D282" s="50" t="n">
        <f aca="false">N(C282)+D279*Assumptions!$E$23/100/4</f>
        <v>7.06857142857143E-006</v>
      </c>
      <c r="E282" s="50" t="n">
        <f aca="false">N(D282)+E279*Assumptions!$E$23/100/4</f>
        <v>2.90628571428571E-005</v>
      </c>
      <c r="F282" s="50" t="n">
        <f aca="false">N(E282)+F279*Assumptions!$E$23/100/4</f>
        <v>7.46285714285714E-005</v>
      </c>
      <c r="G282" s="50" t="n">
        <f aca="false">N(F282)+G279*Assumptions!$E$23/100/4</f>
        <v>0.000145342857142857</v>
      </c>
      <c r="H282" s="50" t="n">
        <f aca="false">N(G282)+H279*Assumptions!$E$23/100/4</f>
        <v>0.000242782857142857</v>
      </c>
      <c r="I282" s="50" t="n">
        <f aca="false">N(H282)+I279*Assumptions!$E$23/100/4</f>
        <v>0.000360142857142857</v>
      </c>
      <c r="J282" s="50" t="n">
        <f aca="false">N(I282)+J279*Assumptions!$E$23/100/4</f>
        <v>0.000498474285714286</v>
      </c>
      <c r="K282" s="50" t="n">
        <f aca="false">N(J282)+K279*Assumptions!$E$23/100/4</f>
        <v>0.00064992</v>
      </c>
      <c r="L282" s="51" t="n">
        <f aca="false">K282</f>
        <v>0.00064992</v>
      </c>
    </row>
    <row r="283" customFormat="false" ht="15" hidden="false" customHeight="false" outlineLevel="0" collapsed="false">
      <c r="A283" s="41" t="n">
        <v>75</v>
      </c>
      <c r="B283" s="21" t="s">
        <v>324</v>
      </c>
      <c r="C283" s="11" t="s">
        <v>316</v>
      </c>
      <c r="D283" s="50" t="n">
        <f aca="false">D281+D282</f>
        <v>0.0141442114285714</v>
      </c>
      <c r="E283" s="50" t="n">
        <f aca="false">E281+E282</f>
        <v>0.0440176342857143</v>
      </c>
      <c r="F283" s="50" t="n">
        <f aca="false">F281+F282</f>
        <v>0.0912060571428572</v>
      </c>
      <c r="G283" s="50" t="n">
        <f aca="false">G281+G282</f>
        <v>0.141573914285714</v>
      </c>
      <c r="H283" s="50" t="n">
        <f aca="false">H281+H282</f>
        <v>0.195122782857143</v>
      </c>
      <c r="I283" s="50" t="n">
        <f aca="false">I281+I282</f>
        <v>0.235080142857143</v>
      </c>
      <c r="J283" s="50" t="n">
        <f aca="false">J281+J282</f>
        <v>0.277161331428571</v>
      </c>
      <c r="K283" s="50" t="n">
        <f aca="false">K281+K282</f>
        <v>0.303541348571429</v>
      </c>
      <c r="L283" s="51" t="n">
        <f aca="false">K283</f>
        <v>0.303541348571429</v>
      </c>
    </row>
    <row r="284" customFormat="false" ht="15" hidden="false" customHeight="false" outlineLevel="0" collapsed="false">
      <c r="A284" s="41" t="n">
        <v>76</v>
      </c>
      <c r="B284" s="21" t="s">
        <v>325</v>
      </c>
      <c r="C284" s="11" t="s">
        <v>316</v>
      </c>
      <c r="D284" s="50" t="n">
        <f aca="false">D283*Assumptions!$E$31</f>
        <v>0.00707210571428571</v>
      </c>
      <c r="E284" s="50" t="n">
        <f aca="false">E283*Assumptions!$E$31</f>
        <v>0.0220088171428571</v>
      </c>
      <c r="F284" s="50" t="n">
        <f aca="false">F283*Assumptions!$E$31</f>
        <v>0.0456030285714286</v>
      </c>
      <c r="G284" s="50" t="n">
        <f aca="false">G283*Assumptions!$E$31</f>
        <v>0.0707869571428572</v>
      </c>
      <c r="H284" s="50" t="n">
        <f aca="false">H283*Assumptions!$E$31</f>
        <v>0.0975613914285714</v>
      </c>
      <c r="I284" s="50" t="n">
        <f aca="false">I283*Assumptions!$E$31</f>
        <v>0.117540071428571</v>
      </c>
      <c r="J284" s="50" t="n">
        <f aca="false">J283*Assumptions!$E$31</f>
        <v>0.138580665714286</v>
      </c>
      <c r="K284" s="50" t="n">
        <f aca="false">K283*Assumptions!$E$31</f>
        <v>0.151770674285714</v>
      </c>
      <c r="L284" s="51" t="n">
        <f aca="false">K284</f>
        <v>0.151770674285714</v>
      </c>
    </row>
    <row r="285" customFormat="false" ht="15" hidden="false" customHeight="false" outlineLevel="0" collapsed="false">
      <c r="A285" s="41" t="n">
        <v>77</v>
      </c>
      <c r="B285" s="21" t="s">
        <v>355</v>
      </c>
      <c r="C285" s="11" t="s">
        <v>47</v>
      </c>
      <c r="D285" s="34" t="n">
        <f aca="false">MAX(0,MIN(Assumptions!$E$16,10)-5)*Assumptions!$E$26+MAX(0,MIN(Assumptions!$E$16,20)-10)*Assumptions!$E$27+MAX(0,Assumptions!$E$16-20)*Assumptions!$E$28</f>
        <v>245</v>
      </c>
      <c r="E285" s="34" t="n">
        <f aca="false">MAX(0,MIN(Assumptions!$E$16,10)-5)*Assumptions!$E$26+MAX(0,MIN(Assumptions!$E$16,20)-10)*Assumptions!$E$27+MAX(0,Assumptions!$E$16-20)*Assumptions!$E$28</f>
        <v>245</v>
      </c>
      <c r="F285" s="34" t="n">
        <f aca="false">MAX(0,MIN(Assumptions!$E$16,10)-5)*Assumptions!$E$26+MAX(0,MIN(Assumptions!$E$16,20)-10)*Assumptions!$E$27+MAX(0,Assumptions!$E$16-20)*Assumptions!$E$28</f>
        <v>245</v>
      </c>
      <c r="G285" s="34" t="n">
        <f aca="false">MAX(0,MIN(Assumptions!$E$16,10)-5)*Assumptions!$E$26+MAX(0,MIN(Assumptions!$E$16,20)-10)*Assumptions!$E$27+MAX(0,Assumptions!$E$16-20)*Assumptions!$E$28</f>
        <v>245</v>
      </c>
      <c r="H285" s="34" t="n">
        <f aca="false">MAX(0,MIN(Assumptions!$E$16,10)-5)*Assumptions!$E$26+MAX(0,MIN(Assumptions!$E$16,20)-10)*Assumptions!$E$27+MAX(0,Assumptions!$E$16-20)*Assumptions!$E$28</f>
        <v>245</v>
      </c>
      <c r="I285" s="34" t="n">
        <f aca="false">MAX(0,MIN(Assumptions!$E$16,10)-5)*Assumptions!$E$26+MAX(0,MIN(Assumptions!$E$16,20)-10)*Assumptions!$E$27+MAX(0,Assumptions!$E$16-20)*Assumptions!$E$28</f>
        <v>245</v>
      </c>
      <c r="J285" s="34" t="n">
        <f aca="false">MAX(0,MIN(Assumptions!$E$16,10)-5)*Assumptions!$E$26+MAX(0,MIN(Assumptions!$E$16,20)-10)*Assumptions!$E$27+MAX(0,Assumptions!$E$16-20)*Assumptions!$E$28</f>
        <v>245</v>
      </c>
      <c r="K285" s="34" t="n">
        <f aca="false">MAX(0,MIN(Assumptions!$E$16,10)-5)*Assumptions!$E$26+MAX(0,MIN(Assumptions!$E$16,20)-10)*Assumptions!$E$27+MAX(0,Assumptions!$E$16-20)*Assumptions!$E$28</f>
        <v>245</v>
      </c>
      <c r="L285" s="57" t="n">
        <f aca="false">K285</f>
        <v>245</v>
      </c>
    </row>
    <row r="286" customFormat="false" ht="15" hidden="false" customHeight="false" outlineLevel="0" collapsed="false">
      <c r="A286" s="41" t="n">
        <v>78</v>
      </c>
      <c r="B286" s="21" t="s">
        <v>326</v>
      </c>
      <c r="C286" s="11" t="s">
        <v>316</v>
      </c>
      <c r="D286" s="50" t="n">
        <f aca="false">D279*Assumptions!$E$35</f>
        <v>0.000636171428571429</v>
      </c>
      <c r="E286" s="50" t="n">
        <f aca="false">E279*Assumptions!$E$35</f>
        <v>0.00197948571428572</v>
      </c>
      <c r="F286" s="50" t="n">
        <f aca="false">F279*Assumptions!$E$35</f>
        <v>0.00410091428571429</v>
      </c>
      <c r="G286" s="50" t="n">
        <f aca="false">G279*Assumptions!$E$35</f>
        <v>0.00636428571428572</v>
      </c>
      <c r="H286" s="50" t="n">
        <f aca="false">H279*Assumptions!$E$35</f>
        <v>0.0087696</v>
      </c>
      <c r="I286" s="50" t="n">
        <f aca="false">I279*Assumptions!$E$35</f>
        <v>0.0105624</v>
      </c>
      <c r="J286" s="50" t="n">
        <f aca="false">J279*Assumptions!$E$35</f>
        <v>0.0124498285714286</v>
      </c>
      <c r="K286" s="50" t="n">
        <f aca="false">K279*Assumptions!$E$35</f>
        <v>0.0136301142857143</v>
      </c>
      <c r="L286" s="51" t="n">
        <f aca="false">K286</f>
        <v>0.0136301142857143</v>
      </c>
    </row>
    <row r="287" customFormat="false" ht="15" hidden="false" customHeight="false" outlineLevel="0" collapsed="false">
      <c r="A287" s="41" t="n">
        <v>79</v>
      </c>
      <c r="B287" s="21" t="s">
        <v>327</v>
      </c>
      <c r="C287" s="11" t="s">
        <v>316</v>
      </c>
      <c r="D287" s="50" t="n">
        <f aca="false">D286*Assumptions!$E$36/4</f>
        <v>0.000318085714285714</v>
      </c>
      <c r="E287" s="50" t="n">
        <f aca="false">E286*Assumptions!$E$36/4</f>
        <v>0.000989742857142857</v>
      </c>
      <c r="F287" s="50" t="n">
        <f aca="false">F286*Assumptions!$E$36/4</f>
        <v>0.00205045714285714</v>
      </c>
      <c r="G287" s="50" t="n">
        <f aca="false">G286*Assumptions!$E$36/4</f>
        <v>0.00318214285714286</v>
      </c>
      <c r="H287" s="50" t="n">
        <f aca="false">H286*Assumptions!$E$36/4</f>
        <v>0.0043848</v>
      </c>
      <c r="I287" s="50" t="n">
        <f aca="false">I286*Assumptions!$E$36/4</f>
        <v>0.0052812</v>
      </c>
      <c r="J287" s="50" t="n">
        <f aca="false">J286*Assumptions!$E$36/4</f>
        <v>0.00622491428571429</v>
      </c>
      <c r="K287" s="50" t="n">
        <f aca="false">K286*Assumptions!$E$36/4</f>
        <v>0.00681505714285714</v>
      </c>
      <c r="L287" s="52" t="n">
        <f aca="false">SUM(D287:K287)</f>
        <v>0.0292464</v>
      </c>
    </row>
    <row r="288" customFormat="false" ht="15" hidden="false" customHeight="false" outlineLevel="0" collapsed="false">
      <c r="A288" s="41" t="n">
        <v>80</v>
      </c>
      <c r="B288" s="21" t="s">
        <v>328</v>
      </c>
      <c r="C288" s="11" t="s">
        <v>275</v>
      </c>
      <c r="D288" s="53" t="n">
        <f aca="false">D287*Assumptions!$E$37*Assumptions!$E$16/100</f>
        <v>2.54468571428571</v>
      </c>
      <c r="E288" s="53" t="n">
        <f aca="false">E287*Assumptions!$E$37*Assumptions!$E$16/100</f>
        <v>7.91794285714286</v>
      </c>
      <c r="F288" s="53" t="n">
        <f aca="false">F287*Assumptions!$E$37*Assumptions!$E$16/100</f>
        <v>16.4036571428571</v>
      </c>
      <c r="G288" s="53" t="n">
        <f aca="false">G287*Assumptions!$E$37*Assumptions!$E$16/100</f>
        <v>25.4571428571429</v>
      </c>
      <c r="H288" s="53" t="n">
        <f aca="false">H287*Assumptions!$E$37*Assumptions!$E$16/100</f>
        <v>35.0784</v>
      </c>
      <c r="I288" s="53" t="n">
        <f aca="false">I287*Assumptions!$E$37*Assumptions!$E$16/100</f>
        <v>42.2496</v>
      </c>
      <c r="J288" s="53" t="n">
        <f aca="false">J287*Assumptions!$E$37*Assumptions!$E$16/100</f>
        <v>49.7993142857143</v>
      </c>
      <c r="K288" s="53" t="n">
        <f aca="false">K287*Assumptions!$E$37*Assumptions!$E$16/100</f>
        <v>54.5204571428571</v>
      </c>
      <c r="L288" s="54" t="n">
        <f aca="false">SUM(D288:K288)</f>
        <v>233.9712</v>
      </c>
    </row>
    <row r="289" customFormat="false" ht="15" hidden="false" customHeight="false" outlineLevel="0" collapsed="false">
      <c r="A289" s="41" t="n">
        <v>81</v>
      </c>
      <c r="B289" s="21" t="s">
        <v>329</v>
      </c>
      <c r="C289" s="11" t="s">
        <v>275</v>
      </c>
      <c r="D289" s="34" t="n">
        <f aca="false">D281*Assumptions!$E$7*3/100</f>
        <v>38.1702857142857</v>
      </c>
      <c r="E289" s="34" t="n">
        <f aca="false">E281*Assumptions!$E$7*3/100</f>
        <v>118.769142857143</v>
      </c>
      <c r="F289" s="34" t="n">
        <f aca="false">F281*Assumptions!$E$7*3/100</f>
        <v>246.054857142857</v>
      </c>
      <c r="G289" s="34" t="n">
        <f aca="false">G281*Assumptions!$E$7*3/100</f>
        <v>381.857142857143</v>
      </c>
      <c r="H289" s="34" t="n">
        <f aca="false">H281*Assumptions!$E$7*3/100</f>
        <v>526.176</v>
      </c>
      <c r="I289" s="34" t="n">
        <f aca="false">I281*Assumptions!$E$7*3/100</f>
        <v>633.744</v>
      </c>
      <c r="J289" s="34" t="n">
        <f aca="false">J281*Assumptions!$E$7*3/100</f>
        <v>746.989714285714</v>
      </c>
      <c r="K289" s="34" t="n">
        <f aca="false">K281*Assumptions!$E$7*3/100</f>
        <v>817.806857142857</v>
      </c>
      <c r="L289" s="55" t="n">
        <f aca="false">SUM(D289:K289)</f>
        <v>3509.568</v>
      </c>
    </row>
    <row r="290" customFormat="false" ht="15" hidden="false" customHeight="false" outlineLevel="0" collapsed="false">
      <c r="A290" s="41" t="n">
        <v>82</v>
      </c>
      <c r="B290" s="21" t="s">
        <v>330</v>
      </c>
      <c r="C290" s="11" t="s">
        <v>275</v>
      </c>
      <c r="D290" s="53" t="n">
        <f aca="false">D289*Assumptions!$E$42</f>
        <v>0.763405714285714</v>
      </c>
      <c r="E290" s="53" t="n">
        <f aca="false">E289*Assumptions!$E$42</f>
        <v>2.37538285714286</v>
      </c>
      <c r="F290" s="53" t="n">
        <f aca="false">F289*Assumptions!$E$42</f>
        <v>4.92109714285714</v>
      </c>
      <c r="G290" s="53" t="n">
        <f aca="false">G289*Assumptions!$E$42</f>
        <v>7.63714285714286</v>
      </c>
      <c r="H290" s="53" t="n">
        <f aca="false">H289*Assumptions!$E$42</f>
        <v>10.52352</v>
      </c>
      <c r="I290" s="53" t="n">
        <f aca="false">I289*Assumptions!$E$42</f>
        <v>12.67488</v>
      </c>
      <c r="J290" s="53" t="n">
        <f aca="false">J289*Assumptions!$E$42</f>
        <v>14.9397942857143</v>
      </c>
      <c r="K290" s="53" t="n">
        <f aca="false">K289*Assumptions!$E$42</f>
        <v>16.3561371428571</v>
      </c>
      <c r="L290" s="54" t="n">
        <f aca="false">SUM(D290:K290)</f>
        <v>70.19136</v>
      </c>
    </row>
    <row r="291" customFormat="false" ht="15" hidden="false" customHeight="false" outlineLevel="0" collapsed="false">
      <c r="A291" s="41" t="n">
        <v>83</v>
      </c>
      <c r="B291" s="21" t="s">
        <v>353</v>
      </c>
      <c r="C291" s="11" t="s">
        <v>275</v>
      </c>
      <c r="D291" s="53" t="n">
        <f aca="false">D289*Assumptions!$E$43</f>
        <v>1.14510857142857</v>
      </c>
      <c r="E291" s="53" t="n">
        <f aca="false">E289*Assumptions!$E$43</f>
        <v>3.56307428571429</v>
      </c>
      <c r="F291" s="53" t="n">
        <f aca="false">F289*Assumptions!$E$43</f>
        <v>7.38164571428571</v>
      </c>
      <c r="G291" s="53" t="n">
        <f aca="false">G289*Assumptions!$E$43</f>
        <v>11.4557142857143</v>
      </c>
      <c r="H291" s="53" t="n">
        <f aca="false">H289*Assumptions!$E$43</f>
        <v>15.78528</v>
      </c>
      <c r="I291" s="53" t="n">
        <f aca="false">I289*Assumptions!$E$43</f>
        <v>19.01232</v>
      </c>
      <c r="J291" s="53" t="n">
        <f aca="false">J289*Assumptions!$E$43</f>
        <v>22.4096914285714</v>
      </c>
      <c r="K291" s="53" t="n">
        <f aca="false">K289*Assumptions!$E$43</f>
        <v>24.5342057142857</v>
      </c>
      <c r="L291" s="54" t="n">
        <f aca="false">SUM(D291:K291)</f>
        <v>105.28704</v>
      </c>
    </row>
    <row r="292" customFormat="false" ht="15" hidden="false" customHeight="false" outlineLevel="0" collapsed="false">
      <c r="A292" s="41" t="n">
        <v>84</v>
      </c>
      <c r="B292" s="21" t="s">
        <v>331</v>
      </c>
      <c r="C292" s="11" t="s">
        <v>275</v>
      </c>
      <c r="D292" s="53" t="n">
        <f aca="false">D284*Assumptions!$E$7*3/100*Assumptions!$E$44</f>
        <v>0.190946854285714</v>
      </c>
      <c r="E292" s="53" t="n">
        <f aca="false">E284*Assumptions!$E$7*3/100*Assumptions!$E$44</f>
        <v>0.594238062857143</v>
      </c>
      <c r="F292" s="53" t="n">
        <f aca="false">F284*Assumptions!$E$7*3/100*Assumptions!$E$44</f>
        <v>1.23128177142857</v>
      </c>
      <c r="G292" s="53" t="n">
        <f aca="false">G284*Assumptions!$E$7*3/100*Assumptions!$E$44</f>
        <v>1.91124784285714</v>
      </c>
      <c r="H292" s="53" t="n">
        <f aca="false">H284*Assumptions!$E$7*3/100*Assumptions!$E$44</f>
        <v>2.63415756857143</v>
      </c>
      <c r="I292" s="53" t="n">
        <f aca="false">I284*Assumptions!$E$7*3/100*Assumptions!$E$44</f>
        <v>3.17358192857143</v>
      </c>
      <c r="J292" s="53" t="n">
        <f aca="false">J284*Assumptions!$E$7*3/100*Assumptions!$E$44</f>
        <v>3.74167797428572</v>
      </c>
      <c r="K292" s="53" t="n">
        <f aca="false">K284*Assumptions!$E$7*3/100*Assumptions!$E$44</f>
        <v>4.09780820571429</v>
      </c>
      <c r="L292" s="54" t="n">
        <f aca="false">SUM(D292:K292)</f>
        <v>17.5749402085714</v>
      </c>
    </row>
    <row r="293" customFormat="false" ht="15" hidden="false" customHeight="false" outlineLevel="0" collapsed="false">
      <c r="A293" s="41" t="n">
        <v>85</v>
      </c>
      <c r="B293" s="21" t="s">
        <v>332</v>
      </c>
      <c r="C293" s="11" t="s">
        <v>316</v>
      </c>
      <c r="D293" s="50" t="n">
        <f aca="false">N(C293)+D283*Assumptions!$E$45/4</f>
        <v>7.07210571428571E-005</v>
      </c>
      <c r="E293" s="50" t="n">
        <f aca="false">N(D293)+E283*Assumptions!$E$45/4</f>
        <v>0.000290809228571429</v>
      </c>
      <c r="F293" s="50" t="n">
        <f aca="false">N(E293)+F283*Assumptions!$E$45/4</f>
        <v>0.000746839514285715</v>
      </c>
      <c r="G293" s="50" t="n">
        <f aca="false">N(F293)+G283*Assumptions!$E$45/4</f>
        <v>0.00145470908571429</v>
      </c>
      <c r="H293" s="50" t="n">
        <f aca="false">N(G293)+H283*Assumptions!$E$45/4</f>
        <v>0.002430323</v>
      </c>
      <c r="I293" s="50" t="n">
        <f aca="false">N(H293)+I283*Assumptions!$E$45/4</f>
        <v>0.00360572371428571</v>
      </c>
      <c r="J293" s="50" t="n">
        <f aca="false">N(I293)+J283*Assumptions!$E$45/4</f>
        <v>0.00499153037142857</v>
      </c>
      <c r="K293" s="50" t="n">
        <f aca="false">N(J293)+K283*Assumptions!$E$45/4</f>
        <v>0.00650923711428572</v>
      </c>
      <c r="L293" s="51" t="n">
        <f aca="false">K293</f>
        <v>0.00650923711428572</v>
      </c>
    </row>
    <row r="294" customFormat="false" ht="15" hidden="false" customHeight="false" outlineLevel="0" collapsed="false">
      <c r="A294" s="41" t="n">
        <v>86</v>
      </c>
      <c r="B294" s="21" t="s">
        <v>333</v>
      </c>
      <c r="C294" s="11" t="s">
        <v>275</v>
      </c>
      <c r="D294" s="53" t="n">
        <f aca="false">D293*Assumptions!$E$7*3/100</f>
        <v>0.190946854285714</v>
      </c>
      <c r="E294" s="53" t="n">
        <f aca="false">E293*Assumptions!$E$7*3/100</f>
        <v>0.785184917142857</v>
      </c>
      <c r="F294" s="53" t="n">
        <f aca="false">F293*Assumptions!$E$7*3/100</f>
        <v>2.01646668857143</v>
      </c>
      <c r="G294" s="53" t="n">
        <f aca="false">G293*Assumptions!$E$7*3/100</f>
        <v>3.92771453142857</v>
      </c>
      <c r="H294" s="53" t="n">
        <f aca="false">H293*Assumptions!$E$7*3/100</f>
        <v>6.5618721</v>
      </c>
      <c r="I294" s="53" t="n">
        <f aca="false">I293*Assumptions!$E$7*3/100</f>
        <v>9.73545402857143</v>
      </c>
      <c r="J294" s="53" t="n">
        <f aca="false">J293*Assumptions!$E$7*3/100</f>
        <v>13.4771320028571</v>
      </c>
      <c r="K294" s="53" t="n">
        <f aca="false">K293*Assumptions!$E$7*3/100</f>
        <v>17.5749402085714</v>
      </c>
      <c r="L294" s="54" t="n">
        <f aca="false">SUM(D294:K294)</f>
        <v>54.2697113314286</v>
      </c>
    </row>
    <row r="295" customFormat="false" ht="15" hidden="false" customHeight="false" outlineLevel="0" collapsed="false">
      <c r="A295" s="41" t="n">
        <v>87</v>
      </c>
      <c r="B295" s="21" t="s">
        <v>334</v>
      </c>
      <c r="C295" s="11" t="s">
        <v>275</v>
      </c>
      <c r="D295" s="53" t="n">
        <f aca="false">D282*Assumptions!$E$7*3/100</f>
        <v>0.0190851428571429</v>
      </c>
      <c r="E295" s="53" t="n">
        <f aca="false">E282*Assumptions!$E$7*3/100</f>
        <v>0.0784697142857143</v>
      </c>
      <c r="F295" s="53" t="n">
        <f aca="false">F282*Assumptions!$E$7*3/100</f>
        <v>0.201497142857143</v>
      </c>
      <c r="G295" s="53" t="n">
        <f aca="false">G282*Assumptions!$E$7*3/100</f>
        <v>0.392425714285714</v>
      </c>
      <c r="H295" s="53" t="n">
        <f aca="false">H282*Assumptions!$E$7*3/100</f>
        <v>0.655513714285714</v>
      </c>
      <c r="I295" s="53" t="n">
        <f aca="false">I282*Assumptions!$E$7*3/100</f>
        <v>0.972385714285714</v>
      </c>
      <c r="J295" s="53" t="n">
        <f aca="false">J282*Assumptions!$E$7*3/100</f>
        <v>1.34588057142857</v>
      </c>
      <c r="K295" s="53" t="n">
        <f aca="false">K282*Assumptions!$E$7*3/100</f>
        <v>1.754784</v>
      </c>
      <c r="L295" s="54" t="n">
        <f aca="false">SUM(D295:K295)</f>
        <v>5.42004171428571</v>
      </c>
    </row>
    <row r="296" customFormat="false" ht="15" hidden="false" customHeight="false" outlineLevel="0" collapsed="false">
      <c r="A296" s="41" t="n">
        <v>88</v>
      </c>
      <c r="B296" s="21" t="s">
        <v>335</v>
      </c>
      <c r="C296" s="11" t="s">
        <v>275</v>
      </c>
      <c r="D296" s="53" t="n">
        <f aca="false">D290+D292+D294+D295+D291</f>
        <v>2.30949313714286</v>
      </c>
      <c r="E296" s="53" t="n">
        <f aca="false">E290+E292+E294+E295+E291</f>
        <v>7.39634983714286</v>
      </c>
      <c r="F296" s="53" t="n">
        <f aca="false">F290+F292+F294+F295+F291</f>
        <v>15.75198846</v>
      </c>
      <c r="G296" s="53" t="n">
        <f aca="false">G290+G292+G294+G295+G291</f>
        <v>25.3242452314286</v>
      </c>
      <c r="H296" s="53" t="n">
        <f aca="false">H290+H292+H294+H295+H291</f>
        <v>36.1603433828572</v>
      </c>
      <c r="I296" s="53" t="n">
        <f aca="false">I290+I292+I294+I295+I291</f>
        <v>45.5686216714286</v>
      </c>
      <c r="J296" s="53" t="n">
        <f aca="false">J290+J292+J294+J295+J291</f>
        <v>55.9141762628571</v>
      </c>
      <c r="K296" s="53" t="n">
        <f aca="false">K290+K292+K294+K295+K291</f>
        <v>64.3178752714286</v>
      </c>
      <c r="L296" s="54" t="n">
        <f aca="false">SUM(D296:K296)</f>
        <v>252.743093254286</v>
      </c>
    </row>
    <row r="297" customFormat="false" ht="15" hidden="false" customHeight="false" outlineLevel="0" collapsed="false">
      <c r="A297" s="41" t="n">
        <v>89</v>
      </c>
      <c r="B297" s="21" t="s">
        <v>336</v>
      </c>
      <c r="C297" s="11" t="s">
        <v>275</v>
      </c>
      <c r="D297" s="24" t="n">
        <f aca="false">D279*Assumptions!$E$25*3/100</f>
        <v>0.00843987428571429</v>
      </c>
      <c r="E297" s="24" t="n">
        <f aca="false">E279*Assumptions!$E$25*3/100</f>
        <v>0.0262611771428572</v>
      </c>
      <c r="F297" s="24" t="n">
        <f aca="false">F279*Assumptions!$E$25*3/100</f>
        <v>0.0544054628571429</v>
      </c>
      <c r="G297" s="24" t="n">
        <f aca="false">G279*Assumptions!$E$25*3/100</f>
        <v>0.0844328571428572</v>
      </c>
      <c r="H297" s="24" t="n">
        <f aca="false">H279*Assumptions!$E$25*3/100</f>
        <v>0.11634336</v>
      </c>
      <c r="I297" s="24" t="n">
        <f aca="false">I279*Assumptions!$E$25*3/100</f>
        <v>0.14012784</v>
      </c>
      <c r="J297" s="24" t="n">
        <f aca="false">J279*Assumptions!$E$25*3/100</f>
        <v>0.165167725714286</v>
      </c>
      <c r="K297" s="24" t="n">
        <f aca="false">K279*Assumptions!$E$25*3/100</f>
        <v>0.180826182857143</v>
      </c>
      <c r="L297" s="56" t="n">
        <f aca="false">SUM(D297:K297)</f>
        <v>0.77600448</v>
      </c>
    </row>
    <row r="298" customFormat="false" ht="15" hidden="false" customHeight="false" outlineLevel="0" collapsed="false">
      <c r="A298" s="41" t="n">
        <v>90</v>
      </c>
      <c r="B298" s="21" t="s">
        <v>356</v>
      </c>
      <c r="C298" s="11" t="s">
        <v>275</v>
      </c>
      <c r="D298" s="24" t="n">
        <f aca="false">D279*D285*3/100</f>
        <v>0.0103908</v>
      </c>
      <c r="E298" s="24" t="n">
        <f aca="false">E279*E285*3/100</f>
        <v>0.0323316</v>
      </c>
      <c r="F298" s="24" t="n">
        <f aca="false">F279*F285*3/100</f>
        <v>0.0669816</v>
      </c>
      <c r="G298" s="24" t="n">
        <f aca="false">G279*G285*3/100</f>
        <v>0.10395</v>
      </c>
      <c r="H298" s="24" t="n">
        <f aca="false">H279*H285*3/100</f>
        <v>0.1432368</v>
      </c>
      <c r="I298" s="24" t="n">
        <f aca="false">I279*I285*3/100</f>
        <v>0.1725192</v>
      </c>
      <c r="J298" s="24" t="n">
        <f aca="false">J279*J285*3/100</f>
        <v>0.2033472</v>
      </c>
      <c r="K298" s="24" t="n">
        <f aca="false">K279*K285*3/100</f>
        <v>0.2226252</v>
      </c>
      <c r="L298" s="56" t="n">
        <f aca="false">SUM(D298:K298)</f>
        <v>0.9553824</v>
      </c>
    </row>
    <row r="299" customFormat="false" ht="15" hidden="false" customHeight="false" outlineLevel="0" collapsed="false">
      <c r="A299" s="41" t="n">
        <v>91</v>
      </c>
      <c r="B299" s="21" t="s">
        <v>337</v>
      </c>
      <c r="C299" s="11" t="s">
        <v>275</v>
      </c>
      <c r="D299" s="24" t="n">
        <f aca="false">D284*Assumptions!$E$29*3/100</f>
        <v>0.0210041539714286</v>
      </c>
      <c r="E299" s="24" t="n">
        <f aca="false">E284*Assumptions!$E$29*3/100</f>
        <v>0.0653661869142857</v>
      </c>
      <c r="F299" s="24" t="n">
        <f aca="false">F284*Assumptions!$E$29*3/100</f>
        <v>0.135440994857143</v>
      </c>
      <c r="G299" s="24" t="n">
        <f aca="false">G284*Assumptions!$E$29*3/100</f>
        <v>0.210237262714286</v>
      </c>
      <c r="H299" s="24" t="n">
        <f aca="false">H284*Assumptions!$E$29*3/100</f>
        <v>0.289757332542857</v>
      </c>
      <c r="I299" s="24" t="n">
        <f aca="false">I284*Assumptions!$E$29*3/100</f>
        <v>0.349094012142857</v>
      </c>
      <c r="J299" s="24" t="n">
        <f aca="false">J284*Assumptions!$E$29*3/100</f>
        <v>0.411584577171429</v>
      </c>
      <c r="K299" s="24" t="n">
        <f aca="false">K284*Assumptions!$E$29*3/100</f>
        <v>0.450758902628571</v>
      </c>
      <c r="L299" s="56" t="n">
        <f aca="false">SUM(D299:K299)</f>
        <v>1.93324342294286</v>
      </c>
    </row>
    <row r="300" customFormat="false" ht="15" hidden="false" customHeight="false" outlineLevel="0" collapsed="false">
      <c r="A300" s="41" t="n">
        <v>92</v>
      </c>
      <c r="B300" s="21" t="s">
        <v>338</v>
      </c>
      <c r="C300" s="11" t="s">
        <v>275</v>
      </c>
      <c r="D300" s="24" t="n">
        <f aca="false">D279*Assumptions!$E$33*Assumptions!$E$32*3/100</f>
        <v>0.000839746285714286</v>
      </c>
      <c r="E300" s="24" t="n">
        <f aca="false">E279*Assumptions!$E$33*Assumptions!$E$32*3/100</f>
        <v>0.00261292114285714</v>
      </c>
      <c r="F300" s="24" t="n">
        <f aca="false">F279*Assumptions!$E$33*Assumptions!$E$32*3/100</f>
        <v>0.00541320685714286</v>
      </c>
      <c r="G300" s="24" t="n">
        <f aca="false">G279*Assumptions!$E$33*Assumptions!$E$32*3/100</f>
        <v>0.00840085714285715</v>
      </c>
      <c r="H300" s="24" t="n">
        <f aca="false">H279*Assumptions!$E$33*Assumptions!$E$32*3/100</f>
        <v>0.011575872</v>
      </c>
      <c r="I300" s="24" t="n">
        <f aca="false">I279*Assumptions!$E$33*Assumptions!$E$32*3/100</f>
        <v>0.013942368</v>
      </c>
      <c r="J300" s="24" t="n">
        <f aca="false">J279*Assumptions!$E$33*Assumptions!$E$32*3/100</f>
        <v>0.0164337737142857</v>
      </c>
      <c r="K300" s="24" t="n">
        <f aca="false">K279*Assumptions!$E$33*Assumptions!$E$32*3/100</f>
        <v>0.0179917508571429</v>
      </c>
      <c r="L300" s="56" t="n">
        <f aca="false">SUM(D300:K300)</f>
        <v>0.077210496</v>
      </c>
    </row>
    <row r="301" customFormat="false" ht="15" hidden="false" customHeight="false" outlineLevel="0" collapsed="false">
      <c r="A301" s="41" t="n">
        <v>93</v>
      </c>
      <c r="B301" s="21" t="s">
        <v>339</v>
      </c>
      <c r="C301" s="11" t="s">
        <v>275</v>
      </c>
      <c r="D301" s="24" t="n">
        <f aca="false">D288*Assumptions!$E$38</f>
        <v>0.0508937142857143</v>
      </c>
      <c r="E301" s="24" t="n">
        <f aca="false">E288*Assumptions!$E$38</f>
        <v>0.158358857142857</v>
      </c>
      <c r="F301" s="24" t="n">
        <f aca="false">F288*Assumptions!$E$38</f>
        <v>0.328073142857143</v>
      </c>
      <c r="G301" s="24" t="n">
        <f aca="false">G288*Assumptions!$E$38</f>
        <v>0.509142857142857</v>
      </c>
      <c r="H301" s="24" t="n">
        <f aca="false">H288*Assumptions!$E$38</f>
        <v>0.701568</v>
      </c>
      <c r="I301" s="24" t="n">
        <f aca="false">I288*Assumptions!$E$38</f>
        <v>0.844992</v>
      </c>
      <c r="J301" s="24" t="n">
        <f aca="false">J288*Assumptions!$E$38</f>
        <v>0.995986285714286</v>
      </c>
      <c r="K301" s="24" t="n">
        <f aca="false">K288*Assumptions!$E$38</f>
        <v>1.09040914285714</v>
      </c>
      <c r="L301" s="56" t="n">
        <f aca="false">SUM(D301:K301)</f>
        <v>4.679424</v>
      </c>
    </row>
    <row r="302" customFormat="false" ht="15" hidden="false" customHeight="false" outlineLevel="0" collapsed="false">
      <c r="A302" s="41" t="n">
        <v>94</v>
      </c>
      <c r="B302" s="21" t="s">
        <v>340</v>
      </c>
      <c r="C302" s="11" t="s">
        <v>275</v>
      </c>
      <c r="D302" s="24" t="n">
        <f aca="false">D296*Assumptions!$E$6</f>
        <v>0.000923797254857143</v>
      </c>
      <c r="E302" s="24" t="n">
        <f aca="false">E296*Assumptions!$E$6</f>
        <v>0.00295853993485714</v>
      </c>
      <c r="F302" s="24" t="n">
        <f aca="false">F296*Assumptions!$E$6</f>
        <v>0.006300795384</v>
      </c>
      <c r="G302" s="24" t="n">
        <f aca="false">G296*Assumptions!$E$6</f>
        <v>0.0101296980925714</v>
      </c>
      <c r="H302" s="24" t="n">
        <f aca="false">H296*Assumptions!$E$6</f>
        <v>0.0144641373531429</v>
      </c>
      <c r="I302" s="24" t="n">
        <f aca="false">I296*Assumptions!$E$6</f>
        <v>0.0182274486685714</v>
      </c>
      <c r="J302" s="24" t="n">
        <f aca="false">J296*Assumptions!$E$6</f>
        <v>0.0223656705051429</v>
      </c>
      <c r="K302" s="24" t="n">
        <f aca="false">K296*Assumptions!$E$6</f>
        <v>0.0257271501085714</v>
      </c>
      <c r="L302" s="56" t="n">
        <f aca="false">SUM(D302:K302)</f>
        <v>0.101097237301714</v>
      </c>
    </row>
    <row r="303" customFormat="false" ht="15" hidden="false" customHeight="false" outlineLevel="0" collapsed="false">
      <c r="A303" s="41" t="n">
        <v>95</v>
      </c>
      <c r="B303" s="21" t="s">
        <v>341</v>
      </c>
      <c r="C303" s="11" t="s">
        <v>275</v>
      </c>
      <c r="D303" s="24" t="n">
        <f aca="false">(D293+D282)*Assumptions!$E$9*3/100</f>
        <v>0.000210031997142857</v>
      </c>
      <c r="E303" s="24" t="n">
        <f aca="false">(E293+E282)*Assumptions!$E$9*3/100</f>
        <v>0.000863654631428572</v>
      </c>
      <c r="F303" s="24" t="n">
        <f aca="false">(F293+F282)*Assumptions!$E$9*3/100</f>
        <v>0.00221796383142857</v>
      </c>
      <c r="G303" s="24" t="n">
        <f aca="false">(G293+G282)*Assumptions!$E$9*3/100</f>
        <v>0.00432014024571429</v>
      </c>
      <c r="H303" s="24" t="n">
        <f aca="false">(H293+H282)*Assumptions!$E$9*3/100</f>
        <v>0.00721738581428572</v>
      </c>
      <c r="I303" s="24" t="n">
        <f aca="false">(I293+I282)*Assumptions!$E$9*3/100</f>
        <v>0.0107078397428571</v>
      </c>
      <c r="J303" s="24" t="n">
        <f aca="false">(J293+J282)*Assumptions!$E$9*3/100</f>
        <v>0.0148230125742857</v>
      </c>
      <c r="K303" s="24" t="n">
        <f aca="false">(K293+K282)*Assumptions!$E$9*3/100</f>
        <v>0.0193297242085714</v>
      </c>
      <c r="L303" s="56" t="n">
        <f aca="false">SUM(D303:K303)</f>
        <v>0.0596897530457143</v>
      </c>
    </row>
    <row r="304" customFormat="false" ht="15" hidden="false" customHeight="false" outlineLevel="0" collapsed="false">
      <c r="A304" s="41" t="n">
        <v>96</v>
      </c>
      <c r="B304" s="21" t="s">
        <v>342</v>
      </c>
      <c r="C304" s="11" t="s">
        <v>275</v>
      </c>
      <c r="D304" s="24" t="n">
        <f aca="false">SUM(D297:D303)</f>
        <v>0.0927021180805714</v>
      </c>
      <c r="E304" s="24" t="n">
        <f aca="false">SUM(E297:E303)</f>
        <v>0.288752936909143</v>
      </c>
      <c r="F304" s="24" t="n">
        <f aca="false">SUM(F297:F303)</f>
        <v>0.598833166644</v>
      </c>
      <c r="G304" s="24" t="n">
        <f aca="false">SUM(G297:G303)</f>
        <v>0.930613672481143</v>
      </c>
      <c r="H304" s="24" t="n">
        <f aca="false">SUM(H297:H303)</f>
        <v>1.28416288771029</v>
      </c>
      <c r="I304" s="24" t="n">
        <f aca="false">SUM(I297:I303)</f>
        <v>1.54961070855429</v>
      </c>
      <c r="J304" s="24" t="n">
        <f aca="false">SUM(J297:J303)</f>
        <v>1.82970824539371</v>
      </c>
      <c r="K304" s="24" t="n">
        <f aca="false">SUM(K297:K303)</f>
        <v>2.00766805351714</v>
      </c>
      <c r="L304" s="56" t="n">
        <f aca="false">SUM(D304:K304)</f>
        <v>8.58205178929029</v>
      </c>
    </row>
    <row r="305" customFormat="false" ht="15" hidden="false" customHeight="false" outlineLevel="0" collapsed="false">
      <c r="A305" s="41" t="n">
        <v>97</v>
      </c>
      <c r="B305" s="21" t="s">
        <v>343</v>
      </c>
      <c r="C305" s="11" t="s">
        <v>275</v>
      </c>
      <c r="D305" s="24" t="n">
        <f aca="false">D283*Assumptions!$E$47*3/100</f>
        <v>0.0106081585714286</v>
      </c>
      <c r="E305" s="24" t="n">
        <f aca="false">E283*Assumptions!$E$47*3/100</f>
        <v>0.0330132257142857</v>
      </c>
      <c r="F305" s="24" t="n">
        <f aca="false">F283*Assumptions!$E$47*3/100</f>
        <v>0.0684045428571429</v>
      </c>
      <c r="G305" s="24" t="n">
        <f aca="false">G283*Assumptions!$E$47*3/100</f>
        <v>0.106180435714286</v>
      </c>
      <c r="H305" s="24" t="n">
        <f aca="false">H283*Assumptions!$E$47*3/100</f>
        <v>0.146342087142857</v>
      </c>
      <c r="I305" s="24" t="n">
        <f aca="false">I283*Assumptions!$E$47*3/100</f>
        <v>0.176310107142857</v>
      </c>
      <c r="J305" s="24" t="n">
        <f aca="false">J283*Assumptions!$E$47*3/100</f>
        <v>0.207870998571429</v>
      </c>
      <c r="K305" s="24" t="n">
        <f aca="false">K283*Assumptions!$E$47*3/100</f>
        <v>0.227656011428571</v>
      </c>
      <c r="L305" s="56" t="n">
        <f aca="false">SUM(D305:K305)</f>
        <v>0.976385567142857</v>
      </c>
    </row>
    <row r="306" customFormat="false" ht="15" hidden="false" customHeight="false" outlineLevel="0" collapsed="false">
      <c r="A306" s="41" t="n">
        <v>98</v>
      </c>
      <c r="B306" s="21" t="s">
        <v>344</v>
      </c>
      <c r="C306" s="11" t="s">
        <v>275</v>
      </c>
      <c r="D306" s="24" t="n">
        <f aca="false">D284*Assumptions!$E$48*90*Assumptions!$E$49/100</f>
        <v>0.00763787417142857</v>
      </c>
      <c r="E306" s="24" t="n">
        <f aca="false">E284*Assumptions!$E$48*90*Assumptions!$E$49/100</f>
        <v>0.0237695225142857</v>
      </c>
      <c r="F306" s="24" t="n">
        <f aca="false">F284*Assumptions!$E$48*90*Assumptions!$E$49/100</f>
        <v>0.0492512708571429</v>
      </c>
      <c r="G306" s="24" t="n">
        <f aca="false">G284*Assumptions!$E$48*90*Assumptions!$E$49/100</f>
        <v>0.0764499137142857</v>
      </c>
      <c r="H306" s="24" t="n">
        <f aca="false">H284*Assumptions!$E$48*90*Assumptions!$E$49/100</f>
        <v>0.105366302742857</v>
      </c>
      <c r="I306" s="24" t="n">
        <f aca="false">I284*Assumptions!$E$48*90*Assumptions!$E$49/100</f>
        <v>0.126943277142857</v>
      </c>
      <c r="J306" s="24" t="n">
        <f aca="false">J284*Assumptions!$E$48*90*Assumptions!$E$49/100</f>
        <v>0.149667118971429</v>
      </c>
      <c r="K306" s="24" t="n">
        <f aca="false">K284*Assumptions!$E$48*90*Assumptions!$E$49/100</f>
        <v>0.163912328228571</v>
      </c>
      <c r="L306" s="56" t="n">
        <f aca="false">SUM(D306:K306)</f>
        <v>0.702997608342857</v>
      </c>
    </row>
    <row r="307" customFormat="false" ht="15" hidden="false" customHeight="false" outlineLevel="0" collapsed="false">
      <c r="A307" s="41" t="n">
        <v>99</v>
      </c>
      <c r="B307" s="21" t="s">
        <v>345</v>
      </c>
      <c r="C307" s="11" t="s">
        <v>275</v>
      </c>
      <c r="D307" s="24" t="n">
        <f aca="false">D279*Assumptions!$E$50*3/100</f>
        <v>0.000636171428571429</v>
      </c>
      <c r="E307" s="24" t="n">
        <f aca="false">E279*Assumptions!$E$50*3/100</f>
        <v>0.00197948571428571</v>
      </c>
      <c r="F307" s="24" t="n">
        <f aca="false">F279*Assumptions!$E$50*3/100</f>
        <v>0.00410091428571429</v>
      </c>
      <c r="G307" s="24" t="n">
        <f aca="false">G279*Assumptions!$E$50*3/100</f>
        <v>0.00636428571428572</v>
      </c>
      <c r="H307" s="24" t="n">
        <f aca="false">H279*Assumptions!$E$50*3/100</f>
        <v>0.0087696</v>
      </c>
      <c r="I307" s="24" t="n">
        <f aca="false">I279*Assumptions!$E$50*3/100</f>
        <v>0.0105624</v>
      </c>
      <c r="J307" s="24" t="n">
        <f aca="false">J279*Assumptions!$E$50*3/100</f>
        <v>0.0124498285714286</v>
      </c>
      <c r="K307" s="24" t="n">
        <f aca="false">K279*Assumptions!$E$50*3/100</f>
        <v>0.0136301142857143</v>
      </c>
      <c r="L307" s="56" t="n">
        <f aca="false">SUM(D307:K307)</f>
        <v>0.0584928</v>
      </c>
    </row>
    <row r="308" customFormat="false" ht="15" hidden="false" customHeight="false" outlineLevel="0" collapsed="false">
      <c r="A308" s="41" t="n">
        <v>100</v>
      </c>
      <c r="B308" s="21" t="s">
        <v>346</v>
      </c>
      <c r="C308" s="11" t="s">
        <v>275</v>
      </c>
      <c r="D308" s="24" t="n">
        <f aca="false">D283*Assumptions!$E$51*3/100</f>
        <v>0.00509191611428571</v>
      </c>
      <c r="E308" s="24" t="n">
        <f aca="false">E283*Assumptions!$E$51*3/100</f>
        <v>0.0158463483428571</v>
      </c>
      <c r="F308" s="24" t="n">
        <f aca="false">F283*Assumptions!$E$51*3/100</f>
        <v>0.0328341805714286</v>
      </c>
      <c r="G308" s="24" t="n">
        <f aca="false">G283*Assumptions!$E$51*3/100</f>
        <v>0.0509666091428572</v>
      </c>
      <c r="H308" s="24" t="n">
        <f aca="false">H283*Assumptions!$E$51*3/100</f>
        <v>0.0702442018285714</v>
      </c>
      <c r="I308" s="24" t="n">
        <f aca="false">I283*Assumptions!$E$51*3/100</f>
        <v>0.0846288514285714</v>
      </c>
      <c r="J308" s="24" t="n">
        <f aca="false">J283*Assumptions!$E$51*3/100</f>
        <v>0.0997780793142857</v>
      </c>
      <c r="K308" s="24" t="n">
        <f aca="false">K283*Assumptions!$E$51*3/100</f>
        <v>0.109274885485714</v>
      </c>
      <c r="L308" s="56" t="n">
        <f aca="false">SUM(D308:K308)</f>
        <v>0.468665072228571</v>
      </c>
    </row>
    <row r="309" customFormat="false" ht="15" hidden="false" customHeight="false" outlineLevel="0" collapsed="false">
      <c r="A309" s="41" t="n">
        <v>101</v>
      </c>
      <c r="B309" s="21" t="s">
        <v>347</v>
      </c>
      <c r="C309" s="11" t="s">
        <v>275</v>
      </c>
      <c r="D309" s="24" t="n">
        <f aca="false">D280*(Assumptions!$E$52+Assumptions!$E$53*Assumptions!$E$16)/100</f>
        <v>0.0219125714285714</v>
      </c>
      <c r="E309" s="24" t="n">
        <f aca="false">E280*(Assumptions!$E$52+Assumptions!$E$53*Assumptions!$E$16)/100</f>
        <v>0.0462697142857143</v>
      </c>
      <c r="F309" s="24" t="n">
        <f aca="false">F280*(Assumptions!$E$52+Assumptions!$E$53*Assumptions!$E$16)/100</f>
        <v>0.0730714285714286</v>
      </c>
      <c r="G309" s="24" t="n">
        <f aca="false">G280*(Assumptions!$E$52+Assumptions!$E$53*Assumptions!$E$16)/100</f>
        <v>0.0779605714285715</v>
      </c>
      <c r="H309" s="24" t="n">
        <f aca="false">H280*(Assumptions!$E$52+Assumptions!$E$53*Assumptions!$E$16)/100</f>
        <v>0.0828497142857143</v>
      </c>
      <c r="I309" s="24" t="n">
        <f aca="false">I280*(Assumptions!$E$52+Assumptions!$E$53*Assumptions!$E$16)/100</f>
        <v>0.0617519999999999</v>
      </c>
      <c r="J309" s="24" t="n">
        <f aca="false">J280*(Assumptions!$E$52+Assumptions!$E$53*Assumptions!$E$16)/100</f>
        <v>0.0650114285714287</v>
      </c>
      <c r="K309" s="24" t="n">
        <f aca="false">K280*(Assumptions!$E$52+Assumptions!$E$53*Assumptions!$E$16)/100</f>
        <v>0.0406542857142857</v>
      </c>
      <c r="L309" s="56" t="n">
        <f aca="false">SUM(D309:K309)</f>
        <v>0.469481714285714</v>
      </c>
    </row>
    <row r="310" customFormat="false" ht="15" hidden="false" customHeight="false" outlineLevel="0" collapsed="false">
      <c r="A310" s="41" t="n">
        <v>102</v>
      </c>
      <c r="B310" s="21" t="s">
        <v>348</v>
      </c>
      <c r="C310" s="11" t="s">
        <v>275</v>
      </c>
      <c r="D310" s="24" t="n">
        <f aca="false">D288*Assumptions!$E$39</f>
        <v>0.00763405714285714</v>
      </c>
      <c r="E310" s="24" t="n">
        <f aca="false">E288*Assumptions!$E$39</f>
        <v>0.0237538285714286</v>
      </c>
      <c r="F310" s="24" t="n">
        <f aca="false">F288*Assumptions!$E$39</f>
        <v>0.0492109714285714</v>
      </c>
      <c r="G310" s="24" t="n">
        <f aca="false">G288*Assumptions!$E$39</f>
        <v>0.0763714285714286</v>
      </c>
      <c r="H310" s="24" t="n">
        <f aca="false">H288*Assumptions!$E$39</f>
        <v>0.1052352</v>
      </c>
      <c r="I310" s="24" t="n">
        <f aca="false">I288*Assumptions!$E$39</f>
        <v>0.1267488</v>
      </c>
      <c r="J310" s="24" t="n">
        <f aca="false">J288*Assumptions!$E$39</f>
        <v>0.149397942857143</v>
      </c>
      <c r="K310" s="24" t="n">
        <f aca="false">K288*Assumptions!$E$39</f>
        <v>0.163561371428571</v>
      </c>
      <c r="L310" s="56" t="n">
        <f aca="false">SUM(D310:K310)</f>
        <v>0.7019136</v>
      </c>
    </row>
    <row r="311" customFormat="false" ht="15" hidden="false" customHeight="false" outlineLevel="0" collapsed="false">
      <c r="A311" s="41" t="n">
        <v>103</v>
      </c>
      <c r="B311" s="21" t="s">
        <v>349</v>
      </c>
      <c r="C311" s="11" t="s">
        <v>275</v>
      </c>
      <c r="D311" s="24" t="n">
        <f aca="false">D288*Assumptions!$E$40</f>
        <v>0.0101787428571429</v>
      </c>
      <c r="E311" s="24" t="n">
        <f aca="false">E288*Assumptions!$E$40</f>
        <v>0.0316717714285714</v>
      </c>
      <c r="F311" s="24" t="n">
        <f aca="false">F288*Assumptions!$E$40</f>
        <v>0.0656146285714286</v>
      </c>
      <c r="G311" s="24" t="n">
        <f aca="false">G288*Assumptions!$E$40</f>
        <v>0.101828571428571</v>
      </c>
      <c r="H311" s="24" t="n">
        <f aca="false">H288*Assumptions!$E$40</f>
        <v>0.1403136</v>
      </c>
      <c r="I311" s="24" t="n">
        <f aca="false">I288*Assumptions!$E$40</f>
        <v>0.1689984</v>
      </c>
      <c r="J311" s="24" t="n">
        <f aca="false">J288*Assumptions!$E$40</f>
        <v>0.199197257142857</v>
      </c>
      <c r="K311" s="24" t="n">
        <f aca="false">K288*Assumptions!$E$40</f>
        <v>0.218081828571429</v>
      </c>
      <c r="L311" s="56" t="n">
        <f aca="false">SUM(D311:K311)</f>
        <v>0.9358848</v>
      </c>
    </row>
    <row r="312" customFormat="false" ht="15" hidden="false" customHeight="false" outlineLevel="0" collapsed="false">
      <c r="A312" s="41" t="n">
        <v>104</v>
      </c>
      <c r="B312" s="21" t="s">
        <v>350</v>
      </c>
      <c r="C312" s="11" t="s">
        <v>275</v>
      </c>
      <c r="D312" s="24" t="n">
        <f aca="false">SUM(D305:D311)</f>
        <v>0.0636994917142857</v>
      </c>
      <c r="E312" s="24" t="n">
        <f aca="false">SUM(E305:E311)</f>
        <v>0.176303896571429</v>
      </c>
      <c r="F312" s="24" t="n">
        <f aca="false">SUM(F305:F311)</f>
        <v>0.342487937142857</v>
      </c>
      <c r="G312" s="24" t="n">
        <f aca="false">SUM(G305:G311)</f>
        <v>0.496121815714286</v>
      </c>
      <c r="H312" s="24" t="n">
        <f aca="false">SUM(H305:H311)</f>
        <v>0.659120706</v>
      </c>
      <c r="I312" s="24" t="n">
        <f aca="false">SUM(I305:I311)</f>
        <v>0.755943835714286</v>
      </c>
      <c r="J312" s="24" t="n">
        <f aca="false">SUM(J305:J311)</f>
        <v>0.883372654</v>
      </c>
      <c r="K312" s="24" t="n">
        <f aca="false">SUM(K305:K311)</f>
        <v>0.936770825142857</v>
      </c>
      <c r="L312" s="56" t="n">
        <f aca="false">SUM(D312:K312)</f>
        <v>4.313821162</v>
      </c>
    </row>
    <row r="313" customFormat="false" ht="15" hidden="false" customHeight="false" outlineLevel="0" collapsed="false">
      <c r="A313" s="41" t="n">
        <v>105</v>
      </c>
      <c r="B313" s="17" t="s">
        <v>351</v>
      </c>
      <c r="C313" s="11" t="s">
        <v>275</v>
      </c>
      <c r="D313" s="56" t="n">
        <f aca="false">D304-D312</f>
        <v>0.0290026263662857</v>
      </c>
      <c r="E313" s="56" t="n">
        <f aca="false">E304-E312</f>
        <v>0.112449040337714</v>
      </c>
      <c r="F313" s="56" t="n">
        <f aca="false">F304-F312</f>
        <v>0.256345229501143</v>
      </c>
      <c r="G313" s="56" t="n">
        <f aca="false">G304-G312</f>
        <v>0.434491856766857</v>
      </c>
      <c r="H313" s="56" t="n">
        <f aca="false">H304-H312</f>
        <v>0.625042181710286</v>
      </c>
      <c r="I313" s="56" t="n">
        <f aca="false">I304-I312</f>
        <v>0.79366687284</v>
      </c>
      <c r="J313" s="56" t="n">
        <f aca="false">J304-J312</f>
        <v>0.946335591393714</v>
      </c>
      <c r="K313" s="56" t="n">
        <f aca="false">K304-K312</f>
        <v>1.07089722837429</v>
      </c>
      <c r="L313" s="56" t="n">
        <f aca="false">SUM(D313:K313)</f>
        <v>4.26823062729029</v>
      </c>
    </row>
    <row r="314" customFormat="false" ht="15" hidden="false" customHeight="false" outlineLevel="0" collapsed="false">
      <c r="A314" s="46"/>
      <c r="B314" s="47" t="s">
        <v>357</v>
      </c>
      <c r="C314" s="46"/>
      <c r="D314" s="46"/>
      <c r="E314" s="46"/>
      <c r="F314" s="46"/>
      <c r="G314" s="46"/>
      <c r="H314" s="46"/>
      <c r="I314" s="46"/>
      <c r="J314" s="46"/>
      <c r="K314" s="46"/>
      <c r="L314" s="46"/>
    </row>
    <row r="315" customFormat="false" ht="15" hidden="false" customHeight="false" outlineLevel="0" collapsed="false">
      <c r="A315" s="41" t="n">
        <v>106</v>
      </c>
      <c r="B315" s="21" t="s">
        <v>319</v>
      </c>
      <c r="C315" s="11" t="s">
        <v>316</v>
      </c>
      <c r="D315" s="48" t="n">
        <f aca="false">D206*Assumptions!$E$14</f>
        <v>0.0176714285714286</v>
      </c>
      <c r="E315" s="48" t="n">
        <f aca="false">E206*Assumptions!$E$14</f>
        <v>0.0183285714285714</v>
      </c>
      <c r="F315" s="48" t="n">
        <f aca="false">F206*Assumptions!$E$14</f>
        <v>0.0189857142857143</v>
      </c>
      <c r="G315" s="48" t="n">
        <f aca="false">G206*Assumptions!$E$14</f>
        <v>0.0196428571428571</v>
      </c>
      <c r="H315" s="48" t="n">
        <f aca="false">H206*Assumptions!$E$14</f>
        <v>0.0203</v>
      </c>
      <c r="I315" s="48" t="n">
        <f aca="false">I206*Assumptions!$E$14</f>
        <v>0.0209571428571429</v>
      </c>
      <c r="J315" s="48" t="n">
        <f aca="false">J206*Assumptions!$E$14</f>
        <v>0.0216142857142857</v>
      </c>
      <c r="K315" s="48" t="n">
        <f aca="false">K206*Assumptions!$E$14</f>
        <v>0.0222714285714286</v>
      </c>
      <c r="L315" s="49" t="n">
        <f aca="false">K315</f>
        <v>0.0222714285714286</v>
      </c>
    </row>
    <row r="316" customFormat="false" ht="15" hidden="false" customHeight="false" outlineLevel="0" collapsed="false">
      <c r="A316" s="41" t="n">
        <v>107</v>
      </c>
      <c r="B316" s="21" t="s">
        <v>320</v>
      </c>
      <c r="C316" s="11" t="s">
        <v>316</v>
      </c>
      <c r="D316" s="50" t="n">
        <f aca="false">D315*D207*Assumptions!$E$22</f>
        <v>2.65071428571429E-005</v>
      </c>
      <c r="E316" s="50" t="n">
        <f aca="false">E315*E207*Assumptions!$E$22</f>
        <v>8.24785714285714E-005</v>
      </c>
      <c r="F316" s="50" t="n">
        <f aca="false">F315*F207*Assumptions!$E$22</f>
        <v>0.000170871428571429</v>
      </c>
      <c r="G316" s="50" t="n">
        <f aca="false">G315*G207*Assumptions!$E$22</f>
        <v>0.000265178571428572</v>
      </c>
      <c r="H316" s="50" t="n">
        <f aca="false">H315*H207*Assumptions!$E$22</f>
        <v>0.0003654</v>
      </c>
      <c r="I316" s="50" t="n">
        <f aca="false">I315*I207*Assumptions!$E$22</f>
        <v>0.0004401</v>
      </c>
      <c r="J316" s="50" t="n">
        <f aca="false">J315*J207*Assumptions!$E$22</f>
        <v>0.000518742857142857</v>
      </c>
      <c r="K316" s="50" t="n">
        <f aca="false">K315*K207*Assumptions!$E$22</f>
        <v>0.000567921428571429</v>
      </c>
      <c r="L316" s="51" t="n">
        <f aca="false">K316</f>
        <v>0.000567921428571429</v>
      </c>
    </row>
    <row r="317" customFormat="false" ht="15" hidden="false" customHeight="false" outlineLevel="0" collapsed="false">
      <c r="A317" s="41" t="n">
        <v>108</v>
      </c>
      <c r="B317" s="21" t="s">
        <v>321</v>
      </c>
      <c r="C317" s="11" t="s">
        <v>316</v>
      </c>
      <c r="D317" s="50" t="n">
        <f aca="false">MAX(0,D316-N(C316))</f>
        <v>2.65071428571429E-005</v>
      </c>
      <c r="E317" s="50" t="n">
        <f aca="false">MAX(0,E316-N(D316))</f>
        <v>5.59714285714286E-005</v>
      </c>
      <c r="F317" s="50" t="n">
        <f aca="false">MAX(0,F316-N(E316))</f>
        <v>8.83928571428571E-005</v>
      </c>
      <c r="G317" s="50" t="n">
        <f aca="false">MAX(0,G316-N(F316))</f>
        <v>9.43071428571429E-005</v>
      </c>
      <c r="H317" s="50" t="n">
        <f aca="false">MAX(0,H316-N(G316))</f>
        <v>0.000100221428571429</v>
      </c>
      <c r="I317" s="50" t="n">
        <f aca="false">MAX(0,I316-N(H316))</f>
        <v>7.46999999999999E-005</v>
      </c>
      <c r="J317" s="50" t="n">
        <f aca="false">MAX(0,J316-N(I316))</f>
        <v>7.86428571428572E-005</v>
      </c>
      <c r="K317" s="50" t="n">
        <f aca="false">MAX(0,K316-N(J316))</f>
        <v>4.91785714285714E-005</v>
      </c>
      <c r="L317" s="52" t="n">
        <f aca="false">SUM(D317:K317)</f>
        <v>0.000567921428571429</v>
      </c>
    </row>
    <row r="318" customFormat="false" ht="15" hidden="false" customHeight="false" outlineLevel="0" collapsed="false">
      <c r="A318" s="41" t="n">
        <v>109</v>
      </c>
      <c r="B318" s="21" t="s">
        <v>322</v>
      </c>
      <c r="C318" s="11" t="s">
        <v>316</v>
      </c>
      <c r="D318" s="50" t="n">
        <f aca="false">D316*Assumptions!$E$17</f>
        <v>0.00265071428571429</v>
      </c>
      <c r="E318" s="50" t="n">
        <f aca="false">E316*Assumptions!$E$17</f>
        <v>0.00824785714285714</v>
      </c>
      <c r="F318" s="50" t="n">
        <f aca="false">F316*Assumptions!$E$17</f>
        <v>0.0170871428571429</v>
      </c>
      <c r="G318" s="50" t="n">
        <f aca="false">G316*Assumptions!$E$17</f>
        <v>0.0265178571428572</v>
      </c>
      <c r="H318" s="50" t="n">
        <f aca="false">H316*Assumptions!$E$17</f>
        <v>0.03654</v>
      </c>
      <c r="I318" s="50" t="n">
        <f aca="false">I316*Assumptions!$E$17</f>
        <v>0.04401</v>
      </c>
      <c r="J318" s="50" t="n">
        <f aca="false">J316*Assumptions!$E$17</f>
        <v>0.0518742857142857</v>
      </c>
      <c r="K318" s="50" t="n">
        <f aca="false">K316*Assumptions!$E$17</f>
        <v>0.0567921428571429</v>
      </c>
      <c r="L318" s="51" t="n">
        <f aca="false">K318</f>
        <v>0.0567921428571429</v>
      </c>
    </row>
    <row r="319" customFormat="false" ht="15" hidden="false" customHeight="false" outlineLevel="0" collapsed="false">
      <c r="A319" s="41" t="n">
        <v>110</v>
      </c>
      <c r="B319" s="21" t="s">
        <v>323</v>
      </c>
      <c r="C319" s="11" t="s">
        <v>316</v>
      </c>
      <c r="D319" s="50" t="n">
        <f aca="false">N(C319)+D316*Assumptions!$E$23/100/4</f>
        <v>1.32535714285714E-007</v>
      </c>
      <c r="E319" s="50" t="n">
        <f aca="false">N(D319)+E316*Assumptions!$E$23/100/4</f>
        <v>5.44928571428572E-007</v>
      </c>
      <c r="F319" s="50" t="n">
        <f aca="false">N(E319)+F316*Assumptions!$E$23/100/4</f>
        <v>1.39928571428571E-006</v>
      </c>
      <c r="G319" s="50" t="n">
        <f aca="false">N(F319)+G316*Assumptions!$E$23/100/4</f>
        <v>2.72517857142857E-006</v>
      </c>
      <c r="H319" s="50" t="n">
        <f aca="false">N(G319)+H316*Assumptions!$E$23/100/4</f>
        <v>4.55217857142857E-006</v>
      </c>
      <c r="I319" s="50" t="n">
        <f aca="false">N(H319)+I316*Assumptions!$E$23/100/4</f>
        <v>6.75267857142857E-006</v>
      </c>
      <c r="J319" s="50" t="n">
        <f aca="false">N(I319)+J316*Assumptions!$E$23/100/4</f>
        <v>9.34639285714286E-006</v>
      </c>
      <c r="K319" s="50" t="n">
        <f aca="false">N(J319)+K316*Assumptions!$E$23/100/4</f>
        <v>1.2186E-005</v>
      </c>
      <c r="L319" s="51" t="n">
        <f aca="false">K319</f>
        <v>1.2186E-005</v>
      </c>
    </row>
    <row r="320" customFormat="false" ht="15" hidden="false" customHeight="false" outlineLevel="0" collapsed="false">
      <c r="A320" s="41" t="n">
        <v>111</v>
      </c>
      <c r="B320" s="21" t="s">
        <v>324</v>
      </c>
      <c r="C320" s="11" t="s">
        <v>316</v>
      </c>
      <c r="D320" s="50" t="n">
        <f aca="false">D318+D319</f>
        <v>0.00265084682142857</v>
      </c>
      <c r="E320" s="50" t="n">
        <f aca="false">E318+E319</f>
        <v>0.00824840207142857</v>
      </c>
      <c r="F320" s="50" t="n">
        <f aca="false">F318+F319</f>
        <v>0.0170885421428571</v>
      </c>
      <c r="G320" s="50" t="n">
        <f aca="false">G318+G319</f>
        <v>0.0265205823214286</v>
      </c>
      <c r="H320" s="50" t="n">
        <f aca="false">H318+H319</f>
        <v>0.0365445521785714</v>
      </c>
      <c r="I320" s="50" t="n">
        <f aca="false">I318+I319</f>
        <v>0.0440167526785714</v>
      </c>
      <c r="J320" s="50" t="n">
        <f aca="false">J318+J319</f>
        <v>0.0518836321071429</v>
      </c>
      <c r="K320" s="50" t="n">
        <f aca="false">K318+K319</f>
        <v>0.0568043288571429</v>
      </c>
      <c r="L320" s="51" t="n">
        <f aca="false">K320</f>
        <v>0.0568043288571429</v>
      </c>
    </row>
    <row r="321" customFormat="false" ht="15" hidden="false" customHeight="false" outlineLevel="0" collapsed="false">
      <c r="A321" s="41" t="n">
        <v>112</v>
      </c>
      <c r="B321" s="21" t="s">
        <v>325</v>
      </c>
      <c r="C321" s="11" t="s">
        <v>316</v>
      </c>
      <c r="D321" s="50" t="n">
        <f aca="false">D320*Assumptions!$E$31</f>
        <v>0.00132542341071429</v>
      </c>
      <c r="E321" s="50" t="n">
        <f aca="false">E320*Assumptions!$E$31</f>
        <v>0.00412420103571429</v>
      </c>
      <c r="F321" s="50" t="n">
        <f aca="false">F320*Assumptions!$E$31</f>
        <v>0.00854427107142857</v>
      </c>
      <c r="G321" s="50" t="n">
        <f aca="false">G320*Assumptions!$E$31</f>
        <v>0.0132602911607143</v>
      </c>
      <c r="H321" s="50" t="n">
        <f aca="false">H320*Assumptions!$E$31</f>
        <v>0.0182722760892857</v>
      </c>
      <c r="I321" s="50" t="n">
        <f aca="false">I320*Assumptions!$E$31</f>
        <v>0.0220083763392857</v>
      </c>
      <c r="J321" s="50" t="n">
        <f aca="false">J320*Assumptions!$E$31</f>
        <v>0.0259418160535714</v>
      </c>
      <c r="K321" s="50" t="n">
        <f aca="false">K320*Assumptions!$E$31</f>
        <v>0.0284021644285714</v>
      </c>
      <c r="L321" s="51" t="n">
        <f aca="false">K321</f>
        <v>0.0284021644285714</v>
      </c>
    </row>
    <row r="322" customFormat="false" ht="15" hidden="false" customHeight="false" outlineLevel="0" collapsed="false">
      <c r="A322" s="41" t="n">
        <v>113</v>
      </c>
      <c r="B322" s="21" t="s">
        <v>355</v>
      </c>
      <c r="C322" s="11" t="s">
        <v>47</v>
      </c>
      <c r="D322" s="34" t="n">
        <f aca="false">MAX(0,MIN(Assumptions!$E$17,10)-5)*Assumptions!$E$26+MAX(0,MIN(Assumptions!$E$17,20)-10)*Assumptions!$E$27+MAX(0,Assumptions!$E$17-20)*Assumptions!$E$28</f>
        <v>8955</v>
      </c>
      <c r="E322" s="34" t="n">
        <f aca="false">MAX(0,MIN(Assumptions!$E$17,10)-5)*Assumptions!$E$26+MAX(0,MIN(Assumptions!$E$17,20)-10)*Assumptions!$E$27+MAX(0,Assumptions!$E$17-20)*Assumptions!$E$28</f>
        <v>8955</v>
      </c>
      <c r="F322" s="34" t="n">
        <f aca="false">MAX(0,MIN(Assumptions!$E$17,10)-5)*Assumptions!$E$26+MAX(0,MIN(Assumptions!$E$17,20)-10)*Assumptions!$E$27+MAX(0,Assumptions!$E$17-20)*Assumptions!$E$28</f>
        <v>8955</v>
      </c>
      <c r="G322" s="34" t="n">
        <f aca="false">MAX(0,MIN(Assumptions!$E$17,10)-5)*Assumptions!$E$26+MAX(0,MIN(Assumptions!$E$17,20)-10)*Assumptions!$E$27+MAX(0,Assumptions!$E$17-20)*Assumptions!$E$28</f>
        <v>8955</v>
      </c>
      <c r="H322" s="34" t="n">
        <f aca="false">MAX(0,MIN(Assumptions!$E$17,10)-5)*Assumptions!$E$26+MAX(0,MIN(Assumptions!$E$17,20)-10)*Assumptions!$E$27+MAX(0,Assumptions!$E$17-20)*Assumptions!$E$28</f>
        <v>8955</v>
      </c>
      <c r="I322" s="34" t="n">
        <f aca="false">MAX(0,MIN(Assumptions!$E$17,10)-5)*Assumptions!$E$26+MAX(0,MIN(Assumptions!$E$17,20)-10)*Assumptions!$E$27+MAX(0,Assumptions!$E$17-20)*Assumptions!$E$28</f>
        <v>8955</v>
      </c>
      <c r="J322" s="34" t="n">
        <f aca="false">MAX(0,MIN(Assumptions!$E$17,10)-5)*Assumptions!$E$26+MAX(0,MIN(Assumptions!$E$17,20)-10)*Assumptions!$E$27+MAX(0,Assumptions!$E$17-20)*Assumptions!$E$28</f>
        <v>8955</v>
      </c>
      <c r="K322" s="34" t="n">
        <f aca="false">MAX(0,MIN(Assumptions!$E$17,10)-5)*Assumptions!$E$26+MAX(0,MIN(Assumptions!$E$17,20)-10)*Assumptions!$E$27+MAX(0,Assumptions!$E$17-20)*Assumptions!$E$28</f>
        <v>8955</v>
      </c>
      <c r="L322" s="57" t="n">
        <f aca="false">K322</f>
        <v>8955</v>
      </c>
    </row>
    <row r="323" customFormat="false" ht="15" hidden="false" customHeight="false" outlineLevel="0" collapsed="false">
      <c r="A323" s="41" t="n">
        <v>114</v>
      </c>
      <c r="B323" s="21" t="s">
        <v>329</v>
      </c>
      <c r="C323" s="11" t="s">
        <v>275</v>
      </c>
      <c r="D323" s="34" t="n">
        <f aca="false">D318*Assumptions!$E$7*3/100</f>
        <v>7.15692857142857</v>
      </c>
      <c r="E323" s="34" t="n">
        <f aca="false">E318*Assumptions!$E$7*3/100</f>
        <v>22.2692142857143</v>
      </c>
      <c r="F323" s="34" t="n">
        <f aca="false">F318*Assumptions!$E$7*3/100</f>
        <v>46.1352857142857</v>
      </c>
      <c r="G323" s="34" t="n">
        <f aca="false">G318*Assumptions!$E$7*3/100</f>
        <v>71.5982142857143</v>
      </c>
      <c r="H323" s="34" t="n">
        <f aca="false">H318*Assumptions!$E$7*3/100</f>
        <v>98.658</v>
      </c>
      <c r="I323" s="34" t="n">
        <f aca="false">I318*Assumptions!$E$7*3/100</f>
        <v>118.827</v>
      </c>
      <c r="J323" s="34" t="n">
        <f aca="false">J318*Assumptions!$E$7*3/100</f>
        <v>140.060571428571</v>
      </c>
      <c r="K323" s="34" t="n">
        <f aca="false">K318*Assumptions!$E$7*3/100</f>
        <v>153.338785714286</v>
      </c>
      <c r="L323" s="55" t="n">
        <f aca="false">SUM(D323:K323)</f>
        <v>658.044</v>
      </c>
    </row>
    <row r="324" customFormat="false" ht="15" hidden="false" customHeight="false" outlineLevel="0" collapsed="false">
      <c r="A324" s="41" t="n">
        <v>115</v>
      </c>
      <c r="B324" s="21" t="s">
        <v>330</v>
      </c>
      <c r="C324" s="11" t="s">
        <v>275</v>
      </c>
      <c r="D324" s="53" t="n">
        <f aca="false">D323*Assumptions!$E$42</f>
        <v>0.143138571428571</v>
      </c>
      <c r="E324" s="53" t="n">
        <f aca="false">E323*Assumptions!$E$42</f>
        <v>0.445384285714286</v>
      </c>
      <c r="F324" s="53" t="n">
        <f aca="false">F323*Assumptions!$E$42</f>
        <v>0.922705714285714</v>
      </c>
      <c r="G324" s="53" t="n">
        <f aca="false">G323*Assumptions!$E$42</f>
        <v>1.43196428571429</v>
      </c>
      <c r="H324" s="53" t="n">
        <f aca="false">H323*Assumptions!$E$42</f>
        <v>1.97316</v>
      </c>
      <c r="I324" s="53" t="n">
        <f aca="false">I323*Assumptions!$E$42</f>
        <v>2.37654</v>
      </c>
      <c r="J324" s="53" t="n">
        <f aca="false">J323*Assumptions!$E$42</f>
        <v>2.80121142857143</v>
      </c>
      <c r="K324" s="53" t="n">
        <f aca="false">K323*Assumptions!$E$42</f>
        <v>3.06677571428571</v>
      </c>
      <c r="L324" s="54" t="n">
        <f aca="false">SUM(D324:K324)</f>
        <v>13.16088</v>
      </c>
    </row>
    <row r="325" customFormat="false" ht="15" hidden="false" customHeight="false" outlineLevel="0" collapsed="false">
      <c r="A325" s="41" t="n">
        <v>116</v>
      </c>
      <c r="B325" s="21" t="s">
        <v>353</v>
      </c>
      <c r="C325" s="11" t="s">
        <v>275</v>
      </c>
      <c r="D325" s="53" t="n">
        <f aca="false">D323*Assumptions!$E$43</f>
        <v>0.214707857142857</v>
      </c>
      <c r="E325" s="53" t="n">
        <f aca="false">E323*Assumptions!$E$43</f>
        <v>0.668076428571429</v>
      </c>
      <c r="F325" s="53" t="n">
        <f aca="false">F323*Assumptions!$E$43</f>
        <v>1.38405857142857</v>
      </c>
      <c r="G325" s="53" t="n">
        <f aca="false">G323*Assumptions!$E$43</f>
        <v>2.14794642857143</v>
      </c>
      <c r="H325" s="53" t="n">
        <f aca="false">H323*Assumptions!$E$43</f>
        <v>2.95974</v>
      </c>
      <c r="I325" s="53" t="n">
        <f aca="false">I323*Assumptions!$E$43</f>
        <v>3.56481</v>
      </c>
      <c r="J325" s="53" t="n">
        <f aca="false">J323*Assumptions!$E$43</f>
        <v>4.20181714285714</v>
      </c>
      <c r="K325" s="53" t="n">
        <f aca="false">K323*Assumptions!$E$43</f>
        <v>4.60016357142857</v>
      </c>
      <c r="L325" s="54" t="n">
        <f aca="false">SUM(D325:K325)</f>
        <v>19.74132</v>
      </c>
    </row>
    <row r="326" customFormat="false" ht="15" hidden="false" customHeight="false" outlineLevel="0" collapsed="false">
      <c r="A326" s="41" t="n">
        <v>117</v>
      </c>
      <c r="B326" s="21" t="s">
        <v>331</v>
      </c>
      <c r="C326" s="11" t="s">
        <v>275</v>
      </c>
      <c r="D326" s="53" t="n">
        <f aca="false">D321*Assumptions!$E$7*3/100*Assumptions!$E$44</f>
        <v>0.0357864320892857</v>
      </c>
      <c r="E326" s="53" t="n">
        <f aca="false">E321*Assumptions!$E$7*3/100*Assumptions!$E$44</f>
        <v>0.111353427964286</v>
      </c>
      <c r="F326" s="53" t="n">
        <f aca="false">F321*Assumptions!$E$7*3/100*Assumptions!$E$44</f>
        <v>0.230695318928571</v>
      </c>
      <c r="G326" s="53" t="n">
        <f aca="false">G321*Assumptions!$E$7*3/100*Assumptions!$E$44</f>
        <v>0.358027861339286</v>
      </c>
      <c r="H326" s="53" t="n">
        <f aca="false">H321*Assumptions!$E$7*3/100*Assumptions!$E$44</f>
        <v>0.493351454410714</v>
      </c>
      <c r="I326" s="53" t="n">
        <f aca="false">I321*Assumptions!$E$7*3/100*Assumptions!$E$44</f>
        <v>0.594226161160714</v>
      </c>
      <c r="J326" s="53" t="n">
        <f aca="false">J321*Assumptions!$E$7*3/100*Assumptions!$E$44</f>
        <v>0.700429033446429</v>
      </c>
      <c r="K326" s="53" t="n">
        <f aca="false">K321*Assumptions!$E$7*3/100*Assumptions!$E$44</f>
        <v>0.766858439571428</v>
      </c>
      <c r="L326" s="54" t="n">
        <f aca="false">SUM(D326:K326)</f>
        <v>3.29072812891071</v>
      </c>
    </row>
    <row r="327" customFormat="false" ht="15" hidden="false" customHeight="false" outlineLevel="0" collapsed="false">
      <c r="A327" s="41" t="n">
        <v>118</v>
      </c>
      <c r="B327" s="21" t="s">
        <v>332</v>
      </c>
      <c r="C327" s="11" t="s">
        <v>316</v>
      </c>
      <c r="D327" s="50" t="n">
        <f aca="false">N(C327)+D320*Assumptions!$E$45/4</f>
        <v>1.32542341071429E-005</v>
      </c>
      <c r="E327" s="50" t="n">
        <f aca="false">N(D327)+E320*Assumptions!$E$45/4</f>
        <v>5.44962444642857E-005</v>
      </c>
      <c r="F327" s="50" t="n">
        <f aca="false">N(E327)+F320*Assumptions!$E$45/4</f>
        <v>0.000139938955178571</v>
      </c>
      <c r="G327" s="50" t="n">
        <f aca="false">N(F327)+G320*Assumptions!$E$45/4</f>
        <v>0.000272541866785714</v>
      </c>
      <c r="H327" s="50" t="n">
        <f aca="false">N(G327)+H320*Assumptions!$E$45/4</f>
        <v>0.000455264627678572</v>
      </c>
      <c r="I327" s="50" t="n">
        <f aca="false">N(H327)+I320*Assumptions!$E$45/4</f>
        <v>0.000675348391071429</v>
      </c>
      <c r="J327" s="50" t="n">
        <f aca="false">N(I327)+J320*Assumptions!$E$45/4</f>
        <v>0.000934766551607143</v>
      </c>
      <c r="K327" s="50" t="n">
        <f aca="false">N(J327)+K320*Assumptions!$E$45/4</f>
        <v>0.00121878819589286</v>
      </c>
      <c r="L327" s="51" t="n">
        <f aca="false">K327</f>
        <v>0.00121878819589286</v>
      </c>
    </row>
    <row r="328" customFormat="false" ht="15" hidden="false" customHeight="false" outlineLevel="0" collapsed="false">
      <c r="A328" s="41" t="n">
        <v>119</v>
      </c>
      <c r="B328" s="21" t="s">
        <v>333</v>
      </c>
      <c r="C328" s="11" t="s">
        <v>275</v>
      </c>
      <c r="D328" s="53" t="n">
        <f aca="false">D327*Assumptions!$E$7*3/100</f>
        <v>0.0357864320892857</v>
      </c>
      <c r="E328" s="53" t="n">
        <f aca="false">E327*Assumptions!$E$7*3/100</f>
        <v>0.147139860053571</v>
      </c>
      <c r="F328" s="53" t="n">
        <f aca="false">F327*Assumptions!$E$7*3/100</f>
        <v>0.377835178982143</v>
      </c>
      <c r="G328" s="53" t="n">
        <f aca="false">G327*Assumptions!$E$7*3/100</f>
        <v>0.735863040321429</v>
      </c>
      <c r="H328" s="53" t="n">
        <f aca="false">H327*Assumptions!$E$7*3/100</f>
        <v>1.22921449473214</v>
      </c>
      <c r="I328" s="53" t="n">
        <f aca="false">I327*Assumptions!$E$7*3/100</f>
        <v>1.82344065589286</v>
      </c>
      <c r="J328" s="53" t="n">
        <f aca="false">J327*Assumptions!$E$7*3/100</f>
        <v>2.52386968933929</v>
      </c>
      <c r="K328" s="53" t="n">
        <f aca="false">K327*Assumptions!$E$7*3/100</f>
        <v>3.29072812891071</v>
      </c>
      <c r="L328" s="54" t="n">
        <f aca="false">SUM(D328:K328)</f>
        <v>10.1638774803214</v>
      </c>
    </row>
    <row r="329" customFormat="false" ht="15" hidden="false" customHeight="false" outlineLevel="0" collapsed="false">
      <c r="A329" s="41" t="n">
        <v>120</v>
      </c>
      <c r="B329" s="21" t="s">
        <v>334</v>
      </c>
      <c r="C329" s="11" t="s">
        <v>275</v>
      </c>
      <c r="D329" s="53" t="n">
        <f aca="false">D319*Assumptions!$E$7*3/100</f>
        <v>0.000357846428571429</v>
      </c>
      <c r="E329" s="53" t="n">
        <f aca="false">E319*Assumptions!$E$7*3/100</f>
        <v>0.00147130714285714</v>
      </c>
      <c r="F329" s="53" t="n">
        <f aca="false">F319*Assumptions!$E$7*3/100</f>
        <v>0.00377807142857143</v>
      </c>
      <c r="G329" s="53" t="n">
        <f aca="false">G319*Assumptions!$E$7*3/100</f>
        <v>0.00735798214285714</v>
      </c>
      <c r="H329" s="53" t="n">
        <f aca="false">H319*Assumptions!$E$7*3/100</f>
        <v>0.0122908821428571</v>
      </c>
      <c r="I329" s="53" t="n">
        <f aca="false">I319*Assumptions!$E$7*3/100</f>
        <v>0.0182322321428571</v>
      </c>
      <c r="J329" s="53" t="n">
        <f aca="false">J319*Assumptions!$E$7*3/100</f>
        <v>0.0252352607142857</v>
      </c>
      <c r="K329" s="53" t="n">
        <f aca="false">K319*Assumptions!$E$7*3/100</f>
        <v>0.0329022</v>
      </c>
      <c r="L329" s="54" t="n">
        <f aca="false">SUM(D329:K329)</f>
        <v>0.101625782142857</v>
      </c>
    </row>
    <row r="330" customFormat="false" ht="15" hidden="false" customHeight="false" outlineLevel="0" collapsed="false">
      <c r="A330" s="41" t="n">
        <v>121</v>
      </c>
      <c r="B330" s="21" t="s">
        <v>335</v>
      </c>
      <c r="C330" s="11" t="s">
        <v>275</v>
      </c>
      <c r="D330" s="53" t="n">
        <f aca="false">D324+D326+D328+D329+D325</f>
        <v>0.429777139178572</v>
      </c>
      <c r="E330" s="53" t="n">
        <f aca="false">E324+E326+E328+E329+E325</f>
        <v>1.37342530944643</v>
      </c>
      <c r="F330" s="53" t="n">
        <f aca="false">F324+F326+F328+F329+F325</f>
        <v>2.91907285505357</v>
      </c>
      <c r="G330" s="53" t="n">
        <f aca="false">G324+G326+G328+G329+G325</f>
        <v>4.68115959808929</v>
      </c>
      <c r="H330" s="53" t="n">
        <f aca="false">H324+H326+H328+H329+H325</f>
        <v>6.66775683128572</v>
      </c>
      <c r="I330" s="53" t="n">
        <f aca="false">I324+I326+I328+I329+I325</f>
        <v>8.37724904919643</v>
      </c>
      <c r="J330" s="53" t="n">
        <f aca="false">J324+J326+J328+J329+J325</f>
        <v>10.2525625549286</v>
      </c>
      <c r="K330" s="53" t="n">
        <f aca="false">K324+K326+K328+K329+K325</f>
        <v>11.7574280541964</v>
      </c>
      <c r="L330" s="54" t="n">
        <f aca="false">SUM(D330:K330)</f>
        <v>46.458431391375</v>
      </c>
    </row>
    <row r="331" customFormat="false" ht="15" hidden="false" customHeight="false" outlineLevel="0" collapsed="false">
      <c r="A331" s="41" t="n">
        <v>122</v>
      </c>
      <c r="B331" s="21" t="s">
        <v>336</v>
      </c>
      <c r="C331" s="11" t="s">
        <v>275</v>
      </c>
      <c r="D331" s="24" t="n">
        <f aca="false">D316*Assumptions!$E$25*3/100</f>
        <v>0.000158247642857143</v>
      </c>
      <c r="E331" s="24" t="n">
        <f aca="false">E316*Assumptions!$E$25*3/100</f>
        <v>0.000492397071428572</v>
      </c>
      <c r="F331" s="24" t="n">
        <f aca="false">F316*Assumptions!$E$25*3/100</f>
        <v>0.00102010242857143</v>
      </c>
      <c r="G331" s="24" t="n">
        <f aca="false">G316*Assumptions!$E$25*3/100</f>
        <v>0.00158311607142857</v>
      </c>
      <c r="H331" s="24" t="n">
        <f aca="false">H316*Assumptions!$E$25*3/100</f>
        <v>0.002181438</v>
      </c>
      <c r="I331" s="24" t="n">
        <f aca="false">I316*Assumptions!$E$25*3/100</f>
        <v>0.002627397</v>
      </c>
      <c r="J331" s="24" t="n">
        <f aca="false">J316*Assumptions!$E$25*3/100</f>
        <v>0.00309689485714286</v>
      </c>
      <c r="K331" s="24" t="n">
        <f aca="false">K316*Assumptions!$E$25*3/100</f>
        <v>0.00339049092857143</v>
      </c>
      <c r="L331" s="56" t="n">
        <f aca="false">SUM(D331:K331)</f>
        <v>0.014550084</v>
      </c>
    </row>
    <row r="332" customFormat="false" ht="15" hidden="false" customHeight="false" outlineLevel="0" collapsed="false">
      <c r="A332" s="41" t="n">
        <v>123</v>
      </c>
      <c r="B332" s="21" t="s">
        <v>356</v>
      </c>
      <c r="C332" s="11" t="s">
        <v>275</v>
      </c>
      <c r="D332" s="24" t="n">
        <f aca="false">D316*D322*3/100</f>
        <v>0.00712114392857143</v>
      </c>
      <c r="E332" s="24" t="n">
        <f aca="false">E316*E322*3/100</f>
        <v>0.0221578682142857</v>
      </c>
      <c r="F332" s="24" t="n">
        <f aca="false">F316*F322*3/100</f>
        <v>0.0459046092857143</v>
      </c>
      <c r="G332" s="24" t="n">
        <f aca="false">G316*G322*3/100</f>
        <v>0.0712402232142857</v>
      </c>
      <c r="H332" s="24" t="n">
        <f aca="false">H316*H322*3/100</f>
        <v>0.09816471</v>
      </c>
      <c r="I332" s="24" t="n">
        <f aca="false">I316*I322*3/100</f>
        <v>0.118232865</v>
      </c>
      <c r="J332" s="24" t="n">
        <f aca="false">J316*J322*3/100</f>
        <v>0.139360268571429</v>
      </c>
      <c r="K332" s="24" t="n">
        <f aca="false">K316*K322*3/100</f>
        <v>0.152572091785714</v>
      </c>
      <c r="L332" s="56" t="n">
        <f aca="false">SUM(D332:K332)</f>
        <v>0.65475378</v>
      </c>
    </row>
    <row r="333" customFormat="false" ht="15" hidden="false" customHeight="false" outlineLevel="0" collapsed="false">
      <c r="A333" s="41" t="n">
        <v>124</v>
      </c>
      <c r="B333" s="21" t="s">
        <v>337</v>
      </c>
      <c r="C333" s="11" t="s">
        <v>275</v>
      </c>
      <c r="D333" s="24" t="n">
        <f aca="false">D321*Assumptions!$E$29*3/100</f>
        <v>0.00393650752982143</v>
      </c>
      <c r="E333" s="24" t="n">
        <f aca="false">E321*Assumptions!$E$29*3/100</f>
        <v>0.0122488770760714</v>
      </c>
      <c r="F333" s="24" t="n">
        <f aca="false">F321*Assumptions!$E$29*3/100</f>
        <v>0.0253764850821429</v>
      </c>
      <c r="G333" s="24" t="n">
        <f aca="false">G321*Assumptions!$E$29*3/100</f>
        <v>0.0393830647473214</v>
      </c>
      <c r="H333" s="24" t="n">
        <f aca="false">H321*Assumptions!$E$29*3/100</f>
        <v>0.0542686599851786</v>
      </c>
      <c r="I333" s="24" t="n">
        <f aca="false">I321*Assumptions!$E$29*3/100</f>
        <v>0.0653648777276786</v>
      </c>
      <c r="J333" s="24" t="n">
        <f aca="false">J321*Assumptions!$E$29*3/100</f>
        <v>0.0770471936791072</v>
      </c>
      <c r="K333" s="24" t="n">
        <f aca="false">K321*Assumptions!$E$29*3/100</f>
        <v>0.0843544283528571</v>
      </c>
      <c r="L333" s="56" t="n">
        <f aca="false">SUM(D333:K333)</f>
        <v>0.361980094180179</v>
      </c>
    </row>
    <row r="334" customFormat="false" ht="15" hidden="false" customHeight="false" outlineLevel="0" collapsed="false">
      <c r="A334" s="41" t="n">
        <v>125</v>
      </c>
      <c r="B334" s="21" t="s">
        <v>338</v>
      </c>
      <c r="C334" s="11" t="s">
        <v>275</v>
      </c>
      <c r="D334" s="24" t="n">
        <f aca="false">D316*Assumptions!$E$33*Assumptions!$E$32*3/100</f>
        <v>1.57452428571429E-005</v>
      </c>
      <c r="E334" s="24" t="n">
        <f aca="false">E316*Assumptions!$E$33*Assumptions!$E$32*3/100</f>
        <v>4.89922714285714E-005</v>
      </c>
      <c r="F334" s="24" t="n">
        <f aca="false">F316*Assumptions!$E$33*Assumptions!$E$32*3/100</f>
        <v>0.000101497628571429</v>
      </c>
      <c r="G334" s="24" t="n">
        <f aca="false">G316*Assumptions!$E$33*Assumptions!$E$32*3/100</f>
        <v>0.000157516071428571</v>
      </c>
      <c r="H334" s="24" t="n">
        <f aca="false">H316*Assumptions!$E$33*Assumptions!$E$32*3/100</f>
        <v>0.0002170476</v>
      </c>
      <c r="I334" s="24" t="n">
        <f aca="false">I316*Assumptions!$E$33*Assumptions!$E$32*3/100</f>
        <v>0.0002614194</v>
      </c>
      <c r="J334" s="24" t="n">
        <f aca="false">J316*Assumptions!$E$33*Assumptions!$E$32*3/100</f>
        <v>0.000308133257142857</v>
      </c>
      <c r="K334" s="24" t="n">
        <f aca="false">K316*Assumptions!$E$33*Assumptions!$E$32*3/100</f>
        <v>0.000337345328571429</v>
      </c>
      <c r="L334" s="56" t="n">
        <f aca="false">SUM(D334:K334)</f>
        <v>0.0014476968</v>
      </c>
    </row>
    <row r="335" customFormat="false" ht="15" hidden="false" customHeight="false" outlineLevel="0" collapsed="false">
      <c r="A335" s="41" t="n">
        <v>126</v>
      </c>
      <c r="B335" s="21" t="s">
        <v>340</v>
      </c>
      <c r="C335" s="11" t="s">
        <v>275</v>
      </c>
      <c r="D335" s="24" t="n">
        <f aca="false">D330*Assumptions!$E$6</f>
        <v>0.000171910855671429</v>
      </c>
      <c r="E335" s="24" t="n">
        <f aca="false">E330*Assumptions!$E$6</f>
        <v>0.000549370123778572</v>
      </c>
      <c r="F335" s="24" t="n">
        <f aca="false">F330*Assumptions!$E$6</f>
        <v>0.00116762914202143</v>
      </c>
      <c r="G335" s="24" t="n">
        <f aca="false">G330*Assumptions!$E$6</f>
        <v>0.00187246383923572</v>
      </c>
      <c r="H335" s="24" t="n">
        <f aca="false">H330*Assumptions!$E$6</f>
        <v>0.00266710273251429</v>
      </c>
      <c r="I335" s="24" t="n">
        <f aca="false">I330*Assumptions!$E$6</f>
        <v>0.00335089961967857</v>
      </c>
      <c r="J335" s="24" t="n">
        <f aca="false">J330*Assumptions!$E$6</f>
        <v>0.00410102502197143</v>
      </c>
      <c r="K335" s="24" t="n">
        <f aca="false">K330*Assumptions!$E$6</f>
        <v>0.00470297122167857</v>
      </c>
      <c r="L335" s="56" t="n">
        <f aca="false">SUM(D335:K335)</f>
        <v>0.01858337255655</v>
      </c>
    </row>
    <row r="336" customFormat="false" ht="15" hidden="false" customHeight="false" outlineLevel="0" collapsed="false">
      <c r="A336" s="41" t="n">
        <v>127</v>
      </c>
      <c r="B336" s="21" t="s">
        <v>341</v>
      </c>
      <c r="C336" s="11" t="s">
        <v>275</v>
      </c>
      <c r="D336" s="24" t="n">
        <f aca="false">(D327+D319)*Assumptions!$E$9*3/100</f>
        <v>3.61442785178571E-005</v>
      </c>
      <c r="E336" s="24" t="n">
        <f aca="false">(E327+E319)*Assumptions!$E$9*3/100</f>
        <v>0.000148611167196429</v>
      </c>
      <c r="F336" s="24" t="n">
        <f aca="false">(F327+F319)*Assumptions!$E$9*3/100</f>
        <v>0.000381613250410714</v>
      </c>
      <c r="G336" s="24" t="n">
        <f aca="false">(G327+G319)*Assumptions!$E$9*3/100</f>
        <v>0.000743221022464286</v>
      </c>
      <c r="H336" s="24" t="n">
        <f aca="false">(H327+H319)*Assumptions!$E$9*3/100</f>
        <v>0.001241505376875</v>
      </c>
      <c r="I336" s="24" t="n">
        <f aca="false">(I327+I319)*Assumptions!$E$9*3/100</f>
        <v>0.00184167288803571</v>
      </c>
      <c r="J336" s="24" t="n">
        <f aca="false">(J327+J319)*Assumptions!$E$9*3/100</f>
        <v>0.00254910495005357</v>
      </c>
      <c r="K336" s="24" t="n">
        <f aca="false">(K327+K319)*Assumptions!$E$9*3/100</f>
        <v>0.00332363032891071</v>
      </c>
      <c r="L336" s="56" t="n">
        <f aca="false">SUM(D336:K336)</f>
        <v>0.0102655032624643</v>
      </c>
    </row>
    <row r="337" customFormat="false" ht="15" hidden="false" customHeight="false" outlineLevel="0" collapsed="false">
      <c r="A337" s="41" t="n">
        <v>128</v>
      </c>
      <c r="B337" s="21" t="s">
        <v>342</v>
      </c>
      <c r="C337" s="11" t="s">
        <v>275</v>
      </c>
      <c r="D337" s="24" t="n">
        <f aca="false">SUM(D331:D336)</f>
        <v>0.0114396994782964</v>
      </c>
      <c r="E337" s="24" t="n">
        <f aca="false">SUM(E331:E336)</f>
        <v>0.0356461159241893</v>
      </c>
      <c r="F337" s="24" t="n">
        <f aca="false">SUM(F331:F336)</f>
        <v>0.0739519368174321</v>
      </c>
      <c r="G337" s="24" t="n">
        <f aca="false">SUM(G331:G336)</f>
        <v>0.114979604966164</v>
      </c>
      <c r="H337" s="24" t="n">
        <f aca="false">SUM(H331:H336)</f>
        <v>0.158740463694568</v>
      </c>
      <c r="I337" s="24" t="n">
        <f aca="false">SUM(I331:I336)</f>
        <v>0.191679131635393</v>
      </c>
      <c r="J337" s="24" t="n">
        <f aca="false">SUM(J331:J336)</f>
        <v>0.226462620336846</v>
      </c>
      <c r="K337" s="24" t="n">
        <f aca="false">SUM(K331:K336)</f>
        <v>0.248680957946304</v>
      </c>
      <c r="L337" s="56" t="n">
        <f aca="false">SUM(D337:K337)</f>
        <v>1.06158053079919</v>
      </c>
    </row>
    <row r="338" customFormat="false" ht="15" hidden="false" customHeight="false" outlineLevel="0" collapsed="false">
      <c r="A338" s="41" t="n">
        <v>129</v>
      </c>
      <c r="B338" s="21" t="s">
        <v>343</v>
      </c>
      <c r="C338" s="11" t="s">
        <v>275</v>
      </c>
      <c r="D338" s="24" t="n">
        <f aca="false">D320*Assumptions!$E$47*3/100</f>
        <v>0.00198813511607143</v>
      </c>
      <c r="E338" s="24" t="n">
        <f aca="false">E320*Assumptions!$E$47*3/100</f>
        <v>0.00618630155357143</v>
      </c>
      <c r="F338" s="24" t="n">
        <f aca="false">F320*Assumptions!$E$47*3/100</f>
        <v>0.0128164066071429</v>
      </c>
      <c r="G338" s="24" t="n">
        <f aca="false">G320*Assumptions!$E$47*3/100</f>
        <v>0.0198904367410714</v>
      </c>
      <c r="H338" s="24" t="n">
        <f aca="false">H320*Assumptions!$E$47*3/100</f>
        <v>0.0274084141339286</v>
      </c>
      <c r="I338" s="24" t="n">
        <f aca="false">I320*Assumptions!$E$47*3/100</f>
        <v>0.0330125645089286</v>
      </c>
      <c r="J338" s="24" t="n">
        <f aca="false">J320*Assumptions!$E$47*3/100</f>
        <v>0.0389127240803572</v>
      </c>
      <c r="K338" s="24" t="n">
        <f aca="false">K320*Assumptions!$E$47*3/100</f>
        <v>0.0426032466428571</v>
      </c>
      <c r="L338" s="56" t="n">
        <f aca="false">SUM(D338:K338)</f>
        <v>0.182818229383929</v>
      </c>
    </row>
    <row r="339" customFormat="false" ht="15" hidden="false" customHeight="false" outlineLevel="0" collapsed="false">
      <c r="A339" s="41" t="n">
        <v>130</v>
      </c>
      <c r="B339" s="21" t="s">
        <v>344</v>
      </c>
      <c r="C339" s="11" t="s">
        <v>275</v>
      </c>
      <c r="D339" s="24" t="n">
        <f aca="false">D321*Assumptions!$E$48*90*Assumptions!$E$49/100</f>
        <v>0.00143145728357143</v>
      </c>
      <c r="E339" s="24" t="n">
        <f aca="false">E321*Assumptions!$E$48*90*Assumptions!$E$49/100</f>
        <v>0.00445413711857143</v>
      </c>
      <c r="F339" s="24" t="n">
        <f aca="false">F321*Assumptions!$E$48*90*Assumptions!$E$49/100</f>
        <v>0.00922781275714286</v>
      </c>
      <c r="G339" s="24" t="n">
        <f aca="false">G321*Assumptions!$E$48*90*Assumptions!$E$49/100</f>
        <v>0.0143211144535714</v>
      </c>
      <c r="H339" s="24" t="n">
        <f aca="false">H321*Assumptions!$E$48*90*Assumptions!$E$49/100</f>
        <v>0.0197340581764286</v>
      </c>
      <c r="I339" s="24" t="n">
        <f aca="false">I321*Assumptions!$E$48*90*Assumptions!$E$49/100</f>
        <v>0.0237690464464286</v>
      </c>
      <c r="J339" s="24" t="n">
        <f aca="false">J321*Assumptions!$E$48*90*Assumptions!$E$49/100</f>
        <v>0.0280171613378571</v>
      </c>
      <c r="K339" s="24" t="n">
        <f aca="false">K321*Assumptions!$E$48*90*Assumptions!$E$49/100</f>
        <v>0.0306743375828571</v>
      </c>
      <c r="L339" s="56" t="n">
        <f aca="false">SUM(D339:K339)</f>
        <v>0.131629125156429</v>
      </c>
    </row>
    <row r="340" customFormat="false" ht="15" hidden="false" customHeight="false" outlineLevel="0" collapsed="false">
      <c r="A340" s="41" t="n">
        <v>131</v>
      </c>
      <c r="B340" s="21" t="s">
        <v>345</v>
      </c>
      <c r="C340" s="11" t="s">
        <v>275</v>
      </c>
      <c r="D340" s="24" t="n">
        <f aca="false">D316*Assumptions!$E$50*3/100</f>
        <v>1.19282142857143E-005</v>
      </c>
      <c r="E340" s="24" t="n">
        <f aca="false">E316*Assumptions!$E$50*3/100</f>
        <v>3.71153571428571E-005</v>
      </c>
      <c r="F340" s="24" t="n">
        <f aca="false">F316*Assumptions!$E$50*3/100</f>
        <v>7.68921428571429E-005</v>
      </c>
      <c r="G340" s="24" t="n">
        <f aca="false">G316*Assumptions!$E$50*3/100</f>
        <v>0.000119330357142857</v>
      </c>
      <c r="H340" s="24" t="n">
        <f aca="false">H316*Assumptions!$E$50*3/100</f>
        <v>0.00016443</v>
      </c>
      <c r="I340" s="24" t="n">
        <f aca="false">I316*Assumptions!$E$50*3/100</f>
        <v>0.000198045</v>
      </c>
      <c r="J340" s="24" t="n">
        <f aca="false">J316*Assumptions!$E$50*3/100</f>
        <v>0.000233434285714286</v>
      </c>
      <c r="K340" s="24" t="n">
        <f aca="false">K316*Assumptions!$E$50*3/100</f>
        <v>0.000255564642857143</v>
      </c>
      <c r="L340" s="56" t="n">
        <f aca="false">SUM(D340:K340)</f>
        <v>0.00109674</v>
      </c>
    </row>
    <row r="341" customFormat="false" ht="15" hidden="false" customHeight="false" outlineLevel="0" collapsed="false">
      <c r="A341" s="41" t="n">
        <v>132</v>
      </c>
      <c r="B341" s="21" t="s">
        <v>346</v>
      </c>
      <c r="C341" s="11" t="s">
        <v>275</v>
      </c>
      <c r="D341" s="24" t="n">
        <f aca="false">D320*Assumptions!$E$51*3/100</f>
        <v>0.000954304855714286</v>
      </c>
      <c r="E341" s="24" t="n">
        <f aca="false">E320*Assumptions!$E$51*3/100</f>
        <v>0.00296942474571429</v>
      </c>
      <c r="F341" s="24" t="n">
        <f aca="false">F320*Assumptions!$E$51*3/100</f>
        <v>0.00615187517142857</v>
      </c>
      <c r="G341" s="24" t="n">
        <f aca="false">G320*Assumptions!$E$51*3/100</f>
        <v>0.00954740963571429</v>
      </c>
      <c r="H341" s="24" t="n">
        <f aca="false">H320*Assumptions!$E$51*3/100</f>
        <v>0.0131560387842857</v>
      </c>
      <c r="I341" s="24" t="n">
        <f aca="false">I320*Assumptions!$E$51*3/100</f>
        <v>0.0158460309642857</v>
      </c>
      <c r="J341" s="24" t="n">
        <f aca="false">J320*Assumptions!$E$51*3/100</f>
        <v>0.0186781075585714</v>
      </c>
      <c r="K341" s="24" t="n">
        <f aca="false">K320*Assumptions!$E$51*3/100</f>
        <v>0.0204495583885714</v>
      </c>
      <c r="L341" s="56" t="n">
        <f aca="false">SUM(D341:K341)</f>
        <v>0.0877527501042857</v>
      </c>
    </row>
    <row r="342" customFormat="false" ht="15" hidden="false" customHeight="false" outlineLevel="0" collapsed="false">
      <c r="A342" s="41" t="n">
        <v>133</v>
      </c>
      <c r="B342" s="21" t="s">
        <v>358</v>
      </c>
      <c r="C342" s="11" t="s">
        <v>275</v>
      </c>
      <c r="D342" s="24" t="n">
        <f aca="false">D317*(Assumptions!$E$52+Assumptions!$E$53*Assumptions!$E$17+Assumptions!$E$54)/100</f>
        <v>0.0170043321428571</v>
      </c>
      <c r="E342" s="24" t="n">
        <f aca="false">E317*(Assumptions!$E$52+Assumptions!$E$53*Assumptions!$E$17+Assumptions!$E$54)/100</f>
        <v>0.0359056714285714</v>
      </c>
      <c r="F342" s="24" t="n">
        <f aca="false">F317*(Assumptions!$E$52+Assumptions!$E$53*Assumptions!$E$17+Assumptions!$E$54)/100</f>
        <v>0.0567040178571429</v>
      </c>
      <c r="G342" s="24" t="n">
        <f aca="false">G317*(Assumptions!$E$52+Assumptions!$E$53*Assumptions!$E$17+Assumptions!$E$54)/100</f>
        <v>0.0604980321428572</v>
      </c>
      <c r="H342" s="24" t="n">
        <f aca="false">H317*(Assumptions!$E$52+Assumptions!$E$53*Assumptions!$E$17+Assumptions!$E$54)/100</f>
        <v>0.0642920464285715</v>
      </c>
      <c r="I342" s="24" t="n">
        <f aca="false">I317*(Assumptions!$E$52+Assumptions!$E$53*Assumptions!$E$17+Assumptions!$E$54)/100</f>
        <v>0.0479200499999999</v>
      </c>
      <c r="J342" s="24" t="n">
        <f aca="false">J317*(Assumptions!$E$52+Assumptions!$E$53*Assumptions!$E$17+Assumptions!$E$54)/100</f>
        <v>0.0504493928571429</v>
      </c>
      <c r="K342" s="24" t="n">
        <f aca="false">K317*(Assumptions!$E$52+Assumptions!$E$53*Assumptions!$E$17+Assumptions!$E$54)/100</f>
        <v>0.0315480535714286</v>
      </c>
      <c r="L342" s="56" t="n">
        <f aca="false">SUM(D342:K342)</f>
        <v>0.364321596428571</v>
      </c>
    </row>
    <row r="343" customFormat="false" ht="15" hidden="false" customHeight="false" outlineLevel="0" collapsed="false">
      <c r="A343" s="41" t="n">
        <v>134</v>
      </c>
      <c r="B343" s="21" t="s">
        <v>350</v>
      </c>
      <c r="C343" s="11" t="s">
        <v>275</v>
      </c>
      <c r="D343" s="24" t="n">
        <f aca="false">SUM(D338:D342)</f>
        <v>0.0213901576125</v>
      </c>
      <c r="E343" s="24" t="n">
        <f aca="false">SUM(E338:E342)</f>
        <v>0.0495526502035714</v>
      </c>
      <c r="F343" s="24" t="n">
        <f aca="false">SUM(F338:F342)</f>
        <v>0.0849770045357143</v>
      </c>
      <c r="G343" s="24" t="n">
        <f aca="false">SUM(G338:G342)</f>
        <v>0.104376323330357</v>
      </c>
      <c r="H343" s="24" t="n">
        <f aca="false">SUM(H338:H342)</f>
        <v>0.124754987523214</v>
      </c>
      <c r="I343" s="24" t="n">
        <f aca="false">SUM(I338:I342)</f>
        <v>0.120745736919643</v>
      </c>
      <c r="J343" s="24" t="n">
        <f aca="false">SUM(J338:J342)</f>
        <v>0.136290820119643</v>
      </c>
      <c r="K343" s="24" t="n">
        <f aca="false">SUM(K338:K342)</f>
        <v>0.125530760828571</v>
      </c>
      <c r="L343" s="56" t="n">
        <f aca="false">SUM(D343:K343)</f>
        <v>0.767618441073214</v>
      </c>
    </row>
    <row r="344" customFormat="false" ht="15" hidden="false" customHeight="false" outlineLevel="0" collapsed="false">
      <c r="A344" s="41" t="n">
        <v>135</v>
      </c>
      <c r="B344" s="17" t="s">
        <v>351</v>
      </c>
      <c r="C344" s="11" t="s">
        <v>275</v>
      </c>
      <c r="D344" s="56" t="n">
        <f aca="false">D337-D343</f>
        <v>-0.00995045813420357</v>
      </c>
      <c r="E344" s="56" t="n">
        <f aca="false">E337-E343</f>
        <v>-0.0139065342793821</v>
      </c>
      <c r="F344" s="56" t="n">
        <f aca="false">F337-F343</f>
        <v>-0.0110250677182822</v>
      </c>
      <c r="G344" s="56" t="n">
        <f aca="false">G337-G343</f>
        <v>0.0106032816358071</v>
      </c>
      <c r="H344" s="56" t="n">
        <f aca="false">H337-H343</f>
        <v>0.0339854761713536</v>
      </c>
      <c r="I344" s="56" t="n">
        <f aca="false">I337-I343</f>
        <v>0.0709333947157501</v>
      </c>
      <c r="J344" s="56" t="n">
        <f aca="false">J337-J343</f>
        <v>0.0901718002172035</v>
      </c>
      <c r="K344" s="56" t="n">
        <f aca="false">K337-K343</f>
        <v>0.123150197117732</v>
      </c>
      <c r="L344" s="56" t="n">
        <f aca="false">SUM(D344:K344)</f>
        <v>0.293962089725979</v>
      </c>
    </row>
    <row r="345" customFormat="false" ht="15" hidden="false" customHeight="false" outlineLevel="0" collapsed="false">
      <c r="A345" s="46"/>
      <c r="B345" s="47" t="s">
        <v>359</v>
      </c>
      <c r="C345" s="46"/>
      <c r="D345" s="46"/>
      <c r="E345" s="46"/>
      <c r="F345" s="46"/>
      <c r="G345" s="46"/>
      <c r="H345" s="46"/>
      <c r="I345" s="46"/>
      <c r="J345" s="46"/>
      <c r="K345" s="46"/>
      <c r="L345" s="46"/>
    </row>
    <row r="346" customFormat="false" ht="15" hidden="false" customHeight="false" outlineLevel="0" collapsed="false">
      <c r="A346" s="41" t="n">
        <v>136</v>
      </c>
      <c r="B346" s="17" t="s">
        <v>320</v>
      </c>
      <c r="C346" s="11" t="s">
        <v>316</v>
      </c>
      <c r="D346" s="52" t="n">
        <f aca="false">D210+D244+D279+D316</f>
        <v>0.0986330785714286</v>
      </c>
      <c r="E346" s="52" t="n">
        <f aca="false">E210+E244+E279+E316</f>
        <v>0.306902764285714</v>
      </c>
      <c r="F346" s="52" t="n">
        <f aca="false">F210+F244+F279+F316</f>
        <v>0.635812585714286</v>
      </c>
      <c r="G346" s="52" t="n">
        <f aca="false">G210+G244+G279+G316</f>
        <v>0.986729464285714</v>
      </c>
      <c r="H346" s="52" t="n">
        <f aca="false">H210+H244+H279+H316</f>
        <v>1.3596534</v>
      </c>
      <c r="I346" s="52" t="n">
        <f aca="false">I210+I244+I279+I316</f>
        <v>1.6376121</v>
      </c>
      <c r="J346" s="52" t="n">
        <f aca="false">J210+J244+J279+J316</f>
        <v>1.93024217142857</v>
      </c>
      <c r="K346" s="52" t="n">
        <f aca="false">K210+K244+K279+K316</f>
        <v>2.11323563571429</v>
      </c>
      <c r="L346" s="58" t="n">
        <f aca="false">K346</f>
        <v>2.11323563571429</v>
      </c>
    </row>
    <row r="347" customFormat="false" ht="15" hidden="false" customHeight="false" outlineLevel="0" collapsed="false">
      <c r="A347" s="41" t="n">
        <v>137</v>
      </c>
      <c r="B347" s="21" t="s">
        <v>321</v>
      </c>
      <c r="C347" s="11" t="s">
        <v>316</v>
      </c>
      <c r="D347" s="50" t="n">
        <f aca="false">D211+D245+D280+D317</f>
        <v>0.0986330785714286</v>
      </c>
      <c r="E347" s="50" t="n">
        <f aca="false">E211+E245+E280+E317</f>
        <v>0.208269685714286</v>
      </c>
      <c r="F347" s="50" t="n">
        <f aca="false">F211+F245+F280+F317</f>
        <v>0.328909821428571</v>
      </c>
      <c r="G347" s="50" t="n">
        <f aca="false">G211+G245+G280+G317</f>
        <v>0.350916878571429</v>
      </c>
      <c r="H347" s="50" t="n">
        <f aca="false">H211+H245+H280+H317</f>
        <v>0.372923935714286</v>
      </c>
      <c r="I347" s="50" t="n">
        <f aca="false">I211+I245+I280+I317</f>
        <v>0.2779587</v>
      </c>
      <c r="J347" s="50" t="n">
        <f aca="false">J211+J245+J280+J317</f>
        <v>0.292630071428572</v>
      </c>
      <c r="K347" s="50" t="n">
        <f aca="false">K211+K245+K280+K317</f>
        <v>0.182993464285715</v>
      </c>
      <c r="L347" s="52" t="n">
        <f aca="false">SUM(D347:K347)</f>
        <v>2.11323563571429</v>
      </c>
    </row>
    <row r="348" customFormat="false" ht="15" hidden="false" customHeight="false" outlineLevel="0" collapsed="false">
      <c r="A348" s="41" t="n">
        <v>138</v>
      </c>
      <c r="B348" s="17" t="s">
        <v>324</v>
      </c>
      <c r="C348" s="11" t="s">
        <v>316</v>
      </c>
      <c r="D348" s="52" t="n">
        <f aca="false">D214+D248+D283+D320</f>
        <v>0.167488165392857</v>
      </c>
      <c r="E348" s="52" t="n">
        <f aca="false">E214+E248+E283+E320</f>
        <v>0.521642679214286</v>
      </c>
      <c r="F348" s="52" t="n">
        <f aca="false">F214+F248+F283+F320</f>
        <v>1.08169674214286</v>
      </c>
      <c r="G348" s="52" t="n">
        <f aca="false">G214+G248+G283+G320</f>
        <v>1.68076538946429</v>
      </c>
      <c r="H348" s="52" t="n">
        <f aca="false">H214+H248+H283+H320</f>
        <v>2.31895865646429</v>
      </c>
      <c r="I348" s="52" t="n">
        <f aca="false">I214+I248+I283+I320</f>
        <v>2.79775671696429</v>
      </c>
      <c r="J348" s="52" t="n">
        <f aca="false">J214+J248+J283+J320</f>
        <v>3.30285792782143</v>
      </c>
      <c r="K348" s="52" t="n">
        <f aca="false">K214+K248+K283+K320</f>
        <v>3.623249106</v>
      </c>
      <c r="L348" s="58" t="n">
        <f aca="false">K348</f>
        <v>3.623249106</v>
      </c>
    </row>
    <row r="349" customFormat="false" ht="15" hidden="false" customHeight="false" outlineLevel="0" collapsed="false">
      <c r="A349" s="41" t="n">
        <v>139</v>
      </c>
      <c r="B349" s="21" t="s">
        <v>325</v>
      </c>
      <c r="C349" s="11" t="s">
        <v>316</v>
      </c>
      <c r="D349" s="50" t="n">
        <f aca="false">D215+D249+D284+D321</f>
        <v>0.0588803826964286</v>
      </c>
      <c r="E349" s="50" t="n">
        <f aca="false">E215+E249+E284+E321</f>
        <v>0.183332739607143</v>
      </c>
      <c r="F349" s="50" t="n">
        <f aca="false">F215+F249+F284+F321</f>
        <v>0.380062371071429</v>
      </c>
      <c r="G349" s="50" t="n">
        <f aca="false">G215+G249+G284+G321</f>
        <v>0.590339194732143</v>
      </c>
      <c r="H349" s="50" t="n">
        <f aca="false">H215+H249+H284+H321</f>
        <v>0.814190628232143</v>
      </c>
      <c r="I349" s="50" t="n">
        <f aca="false">I215+I249+I284+I321</f>
        <v>0.981815858482143</v>
      </c>
      <c r="J349" s="50" t="n">
        <f aca="false">J215+J249+J284+J321</f>
        <v>1.15854566391071</v>
      </c>
      <c r="K349" s="50" t="n">
        <f aca="false">K215+K249+K284+K321</f>
        <v>1.270190953</v>
      </c>
      <c r="L349" s="51" t="n">
        <f aca="false">K349</f>
        <v>1.270190953</v>
      </c>
    </row>
    <row r="350" customFormat="false" ht="15" hidden="false" customHeight="false" outlineLevel="0" collapsed="false">
      <c r="A350" s="41" t="n">
        <v>140</v>
      </c>
      <c r="B350" s="17" t="s">
        <v>360</v>
      </c>
      <c r="C350" s="11" t="s">
        <v>275</v>
      </c>
      <c r="D350" s="54" t="n">
        <f aca="false">D218+D252+D288</f>
        <v>29.5819714285714</v>
      </c>
      <c r="E350" s="54" t="n">
        <f aca="false">E218+E252+E288</f>
        <v>92.0460857142857</v>
      </c>
      <c r="F350" s="54" t="n">
        <f aca="false">F218+F252+F288</f>
        <v>190.692514285714</v>
      </c>
      <c r="G350" s="54" t="n">
        <f aca="false">G218+G252+G288</f>
        <v>295.939285714286</v>
      </c>
      <c r="H350" s="54" t="n">
        <f aca="false">H218+H252+H288</f>
        <v>407.7864</v>
      </c>
      <c r="I350" s="54" t="n">
        <f aca="false">I218+I252+I288</f>
        <v>491.1516</v>
      </c>
      <c r="J350" s="54" t="n">
        <f aca="false">J218+J252+J288</f>
        <v>578.917028571429</v>
      </c>
      <c r="K350" s="54" t="n">
        <f aca="false">K218+K252+K288</f>
        <v>633.800314285714</v>
      </c>
      <c r="L350" s="54" t="n">
        <f aca="false">SUM(D350:K350)</f>
        <v>2719.9152</v>
      </c>
    </row>
    <row r="351" customFormat="false" ht="15" hidden="false" customHeight="false" outlineLevel="0" collapsed="false">
      <c r="A351" s="41" t="n">
        <v>141</v>
      </c>
      <c r="B351" s="21" t="s">
        <v>330</v>
      </c>
      <c r="C351" s="11" t="s">
        <v>275</v>
      </c>
      <c r="D351" s="53" t="n">
        <f aca="false">D220+D254+D290+D324</f>
        <v>7.34778</v>
      </c>
      <c r="E351" s="53" t="n">
        <f aca="false">E220+E254+E290+E324</f>
        <v>22.86306</v>
      </c>
      <c r="F351" s="53" t="n">
        <f aca="false">F220+F254+F290+F324</f>
        <v>47.36556</v>
      </c>
      <c r="G351" s="53" t="n">
        <f aca="false">G220+G254+G290+G324</f>
        <v>73.5075</v>
      </c>
      <c r="H351" s="53" t="n">
        <f aca="false">H220+H254+H290+H324</f>
        <v>101.28888</v>
      </c>
      <c r="I351" s="53" t="n">
        <f aca="false">I220+I254+I290+I324</f>
        <v>121.99572</v>
      </c>
      <c r="J351" s="53" t="n">
        <f aca="false">J220+J254+J290+J324</f>
        <v>143.79552</v>
      </c>
      <c r="K351" s="53" t="n">
        <f aca="false">K220+K254+K290+K324</f>
        <v>157.42782</v>
      </c>
      <c r="L351" s="54" t="n">
        <f aca="false">SUM(D351:K351)</f>
        <v>675.59184</v>
      </c>
    </row>
    <row r="352" customFormat="false" ht="15" hidden="false" customHeight="false" outlineLevel="0" collapsed="false">
      <c r="A352" s="41" t="n">
        <v>142</v>
      </c>
      <c r="B352" s="21" t="s">
        <v>353</v>
      </c>
      <c r="C352" s="11" t="s">
        <v>275</v>
      </c>
      <c r="D352" s="53" t="n">
        <f aca="false">D255+D291+D325</f>
        <v>8.516745</v>
      </c>
      <c r="E352" s="53" t="n">
        <f aca="false">E255+E291+E325</f>
        <v>26.500365</v>
      </c>
      <c r="F352" s="53" t="n">
        <f aca="false">F255+F291+F325</f>
        <v>54.90099</v>
      </c>
      <c r="G352" s="53" t="n">
        <f aca="false">G255+G291+G325</f>
        <v>85.201875</v>
      </c>
      <c r="H352" s="53" t="n">
        <f aca="false">H255+H291+H325</f>
        <v>117.40302</v>
      </c>
      <c r="I352" s="53" t="n">
        <f aca="false">I255+I291+I325</f>
        <v>141.40413</v>
      </c>
      <c r="J352" s="53" t="n">
        <f aca="false">J255+J291+J325</f>
        <v>166.67208</v>
      </c>
      <c r="K352" s="53" t="n">
        <f aca="false">K255+K291+K325</f>
        <v>182.473155</v>
      </c>
      <c r="L352" s="54" t="n">
        <f aca="false">SUM(D352:K352)</f>
        <v>783.07236</v>
      </c>
    </row>
    <row r="353" customFormat="false" ht="15" hidden="false" customHeight="false" outlineLevel="0" collapsed="false">
      <c r="A353" s="41" t="n">
        <v>143</v>
      </c>
      <c r="B353" s="21" t="s">
        <v>361</v>
      </c>
      <c r="C353" s="11" t="s">
        <v>275</v>
      </c>
      <c r="D353" s="53" t="n">
        <f aca="false">D221+D256+D292+D326</f>
        <v>1.50585534530357</v>
      </c>
      <c r="E353" s="53" t="n">
        <f aca="false">E221+E256+E292+E326</f>
        <v>4.68845994439286</v>
      </c>
      <c r="F353" s="53" t="n">
        <f aca="false">F221+F256+F292+F326</f>
        <v>9.71903126892857</v>
      </c>
      <c r="G353" s="53" t="n">
        <f aca="false">G221+G256+G292+G326</f>
        <v>15.0952614452679</v>
      </c>
      <c r="H353" s="53" t="n">
        <f aca="false">H221+H256+H292+H326</f>
        <v>20.8177975997679</v>
      </c>
      <c r="I353" s="53" t="n">
        <f aca="false">I221+I256+I292+I326</f>
        <v>25.1014422415179</v>
      </c>
      <c r="J353" s="53" t="n">
        <f aca="false">J221+J256+J292+J326</f>
        <v>29.6172517880893</v>
      </c>
      <c r="K353" s="53" t="n">
        <f aca="false">K221+K256+K292+K326</f>
        <v>32.467817331</v>
      </c>
      <c r="L353" s="54" t="n">
        <f aca="false">SUM(D353:K353)</f>
        <v>139.012916964268</v>
      </c>
    </row>
    <row r="354" customFormat="false" ht="15" hidden="false" customHeight="false" outlineLevel="0" collapsed="false">
      <c r="A354" s="41" t="n">
        <v>144</v>
      </c>
      <c r="B354" s="21" t="s">
        <v>333</v>
      </c>
      <c r="C354" s="11" t="s">
        <v>275</v>
      </c>
      <c r="D354" s="53" t="n">
        <f aca="false">D223+D258+D294+D328</f>
        <v>1.84151529530357</v>
      </c>
      <c r="E354" s="53" t="n">
        <f aca="false">E223+E258+E294+E328</f>
        <v>7.57607133969643</v>
      </c>
      <c r="F354" s="53" t="n">
        <f aca="false">F223+F258+F294+F328</f>
        <v>19.465713608625</v>
      </c>
      <c r="G354" s="53" t="n">
        <f aca="false">G223+G258+G294+G328</f>
        <v>37.9365623038929</v>
      </c>
      <c r="H354" s="53" t="n">
        <f aca="false">H223+H258+H294+H328</f>
        <v>63.4157573536607</v>
      </c>
      <c r="I354" s="53" t="n">
        <f aca="false">I223+I258+I294+I328</f>
        <v>94.1475433451786</v>
      </c>
      <c r="J354" s="53" t="n">
        <f aca="false">J223+J258+J294+J328</f>
        <v>130.418719683268</v>
      </c>
      <c r="K354" s="53" t="n">
        <f aca="false">K223+K258+K294+K328</f>
        <v>170.195890614268</v>
      </c>
      <c r="L354" s="54" t="n">
        <f aca="false">SUM(D354:K354)</f>
        <v>524.997773543893</v>
      </c>
    </row>
    <row r="355" customFormat="false" ht="15" hidden="false" customHeight="false" outlineLevel="0" collapsed="false">
      <c r="A355" s="41" t="n">
        <v>145</v>
      </c>
      <c r="B355" s="21" t="s">
        <v>334</v>
      </c>
      <c r="C355" s="11" t="s">
        <v>275</v>
      </c>
      <c r="D355" s="53" t="n">
        <f aca="false">D224+D259+D295+D329</f>
        <v>0.914059060714286</v>
      </c>
      <c r="E355" s="53" t="n">
        <f aca="false">E224+E259+E295+E329</f>
        <v>3.75820887857143</v>
      </c>
      <c r="F355" s="53" t="n">
        <f aca="false">F224+F259+F295+F329</f>
        <v>9.65045378571429</v>
      </c>
      <c r="G355" s="53" t="n">
        <f aca="false">G224+G259+G295+G329</f>
        <v>18.7947390535714</v>
      </c>
      <c r="H355" s="53" t="n">
        <f aca="false">H224+H259+H295+H329</f>
        <v>31.3950099535714</v>
      </c>
      <c r="I355" s="53" t="n">
        <f aca="false">I224+I259+I295+I329</f>
        <v>46.5711983035714</v>
      </c>
      <c r="J355" s="53" t="n">
        <f aca="false">J224+J259+J295+J329</f>
        <v>64.4592676178571</v>
      </c>
      <c r="K355" s="53" t="n">
        <f aca="false">K224+K259+K295+K329</f>
        <v>84.0431862</v>
      </c>
      <c r="L355" s="54" t="n">
        <f aca="false">SUM(D355:K355)</f>
        <v>259.586122853571</v>
      </c>
    </row>
    <row r="356" customFormat="false" ht="15" hidden="false" customHeight="false" outlineLevel="0" collapsed="false">
      <c r="A356" s="41" t="n">
        <v>146</v>
      </c>
      <c r="B356" s="17" t="s">
        <v>335</v>
      </c>
      <c r="C356" s="11" t="s">
        <v>275</v>
      </c>
      <c r="D356" s="55" t="n">
        <f aca="false">D225+D260+D296+D330</f>
        <v>20.1259547013214</v>
      </c>
      <c r="E356" s="55" t="n">
        <f aca="false">E225+E260+E296+E330</f>
        <v>65.3861651626607</v>
      </c>
      <c r="F356" s="55" t="n">
        <f aca="false">F225+F260+F296+F330</f>
        <v>141.101748663268</v>
      </c>
      <c r="G356" s="55" t="n">
        <f aca="false">G225+G260+G296+G330</f>
        <v>230.535937802732</v>
      </c>
      <c r="H356" s="55" t="n">
        <f aca="false">H225+H260+H296+H330</f>
        <v>334.320464907</v>
      </c>
      <c r="I356" s="55" t="n">
        <f aca="false">I225+I260+I296+I330</f>
        <v>429.220033890268</v>
      </c>
      <c r="J356" s="55" t="n">
        <f aca="false">J225+J260+J296+J330</f>
        <v>534.962839089214</v>
      </c>
      <c r="K356" s="55" t="n">
        <f aca="false">K225+K260+K296+K330</f>
        <v>626.607869145268</v>
      </c>
      <c r="L356" s="55" t="n">
        <f aca="false">SUM(D356:K356)</f>
        <v>2382.26101336173</v>
      </c>
    </row>
    <row r="357" customFormat="false" ht="15" hidden="false" customHeight="false" outlineLevel="0" collapsed="false">
      <c r="A357" s="41" t="n">
        <v>147</v>
      </c>
      <c r="B357" s="21" t="s">
        <v>335</v>
      </c>
      <c r="C357" s="11" t="s">
        <v>362</v>
      </c>
      <c r="D357" s="50" t="n">
        <f aca="false">D356/100000</f>
        <v>0.000201259547013214</v>
      </c>
      <c r="E357" s="50" t="n">
        <f aca="false">E356/100000</f>
        <v>0.000653861651626607</v>
      </c>
      <c r="F357" s="50" t="n">
        <f aca="false">F356/100000</f>
        <v>0.00141101748663268</v>
      </c>
      <c r="G357" s="50" t="n">
        <f aca="false">G356/100000</f>
        <v>0.00230535937802732</v>
      </c>
      <c r="H357" s="50" t="n">
        <f aca="false">H356/100000</f>
        <v>0.00334320464907</v>
      </c>
      <c r="I357" s="50" t="n">
        <f aca="false">I356/100000</f>
        <v>0.00429220033890268</v>
      </c>
      <c r="J357" s="50" t="n">
        <f aca="false">J356/100000</f>
        <v>0.00534962839089214</v>
      </c>
      <c r="K357" s="50" t="n">
        <f aca="false">K356/100000</f>
        <v>0.00626607869145268</v>
      </c>
      <c r="L357" s="52" t="n">
        <f aca="false">SUM(D357:K357)</f>
        <v>0.0238226101336173</v>
      </c>
    </row>
    <row r="358" customFormat="false" ht="15" hidden="false" customHeight="false" outlineLevel="0" collapsed="false">
      <c r="A358" s="41" t="n">
        <v>148</v>
      </c>
      <c r="B358" s="21" t="s">
        <v>363</v>
      </c>
      <c r="C358" s="11" t="s">
        <v>362</v>
      </c>
      <c r="D358" s="42" t="n">
        <f aca="false">Baseline!E15</f>
        <v>7.94869047619048</v>
      </c>
      <c r="E358" s="42" t="n">
        <f aca="false">Baseline!E16</f>
        <v>8.29714285714286</v>
      </c>
      <c r="F358" s="42" t="n">
        <f aca="false">Baseline!E17</f>
        <v>8.64559523809524</v>
      </c>
      <c r="G358" s="42" t="n">
        <f aca="false">Baseline!E18</f>
        <v>8.99404761904762</v>
      </c>
      <c r="H358" s="42" t="n">
        <f aca="false">Baseline!E19</f>
        <v>9.3425</v>
      </c>
      <c r="I358" s="42" t="n">
        <f aca="false">Baseline!E20</f>
        <v>9.69095238095238</v>
      </c>
      <c r="J358" s="42" t="n">
        <f aca="false">Baseline!E21</f>
        <v>10.0394047619048</v>
      </c>
      <c r="K358" s="42" t="n">
        <f aca="false">Baseline!E22</f>
        <v>10.3878571428571</v>
      </c>
      <c r="L358" s="56" t="n">
        <f aca="false">SUM(D358:K358)</f>
        <v>73.3461904761905</v>
      </c>
    </row>
    <row r="359" customFormat="false" ht="15" hidden="false" customHeight="false" outlineLevel="0" collapsed="false">
      <c r="A359" s="41" t="n">
        <v>149</v>
      </c>
      <c r="B359" s="21" t="s">
        <v>364</v>
      </c>
      <c r="C359" s="11" t="s">
        <v>365</v>
      </c>
      <c r="D359" s="59" t="n">
        <f aca="false">IF(D358&gt;0,D357/D358,0)</f>
        <v>2.531983697391E-005</v>
      </c>
      <c r="E359" s="59" t="n">
        <f aca="false">IF(E358&gt;0,E357/E358,0)</f>
        <v>7.88056398310305E-005</v>
      </c>
      <c r="F359" s="59" t="n">
        <f aca="false">IF(F358&gt;0,F357/F358,0)</f>
        <v>0.000163206517049895</v>
      </c>
      <c r="G359" s="59" t="n">
        <f aca="false">IF(G358&gt;0,G357/G358,0)</f>
        <v>0.000256320566187022</v>
      </c>
      <c r="H359" s="59" t="n">
        <f aca="false">IF(H358&gt;0,H357/H358,0)</f>
        <v>0.000357849039236821</v>
      </c>
      <c r="I359" s="59" t="n">
        <f aca="false">IF(I358&gt;0,I357/I358,0)</f>
        <v>0.000442908000181594</v>
      </c>
      <c r="J359" s="59" t="n">
        <f aca="false">IF(J358&gt;0,J357/J358,0)</f>
        <v>0.000532863104712312</v>
      </c>
      <c r="K359" s="59" t="n">
        <f aca="false">IF(K358&gt;0,K357/K358,0)</f>
        <v>0.000603211866054717</v>
      </c>
      <c r="L359" s="60" t="n">
        <f aca="false">IF(L358&gt;0,L357/L358,0)</f>
        <v>0.000324796829650622</v>
      </c>
    </row>
    <row r="360" customFormat="false" ht="15" hidden="false" customHeight="false" outlineLevel="0" collapsed="false">
      <c r="A360" s="41" t="n">
        <v>150</v>
      </c>
      <c r="B360" s="21" t="s">
        <v>336</v>
      </c>
      <c r="C360" s="11" t="s">
        <v>275</v>
      </c>
      <c r="D360" s="24" t="n">
        <f aca="false">D226+D261+D297+D331</f>
        <v>0.588839479071429</v>
      </c>
      <c r="E360" s="24" t="n">
        <f aca="false">E226+E261+E297+E331</f>
        <v>1.83220950278571</v>
      </c>
      <c r="F360" s="24" t="n">
        <f aca="false">F226+F261+F297+F331</f>
        <v>3.79580113671429</v>
      </c>
      <c r="G360" s="24" t="n">
        <f aca="false">G226+G261+G297+G331</f>
        <v>5.89077490178571</v>
      </c>
      <c r="H360" s="24" t="n">
        <f aca="false">H226+H261+H297+H331</f>
        <v>8.117130798</v>
      </c>
      <c r="I360" s="24" t="n">
        <f aca="false">I226+I261+I297+I331</f>
        <v>9.776544237</v>
      </c>
      <c r="J360" s="24" t="n">
        <f aca="false">J226+J261+J297+J331</f>
        <v>11.5235457634286</v>
      </c>
      <c r="K360" s="24" t="n">
        <f aca="false">K226+K261+K297+K331</f>
        <v>12.6160167452143</v>
      </c>
      <c r="L360" s="56" t="n">
        <f aca="false">SUM(D360:K360)</f>
        <v>54.140862564</v>
      </c>
    </row>
    <row r="361" customFormat="false" ht="15" hidden="false" customHeight="false" outlineLevel="0" collapsed="false">
      <c r="A361" s="41" t="n">
        <v>151</v>
      </c>
      <c r="B361" s="21" t="s">
        <v>356</v>
      </c>
      <c r="C361" s="11" t="s">
        <v>275</v>
      </c>
      <c r="D361" s="24" t="n">
        <f aca="false">D298+D332</f>
        <v>0.0175119439285714</v>
      </c>
      <c r="E361" s="24" t="n">
        <f aca="false">E298+E332</f>
        <v>0.0544894682142857</v>
      </c>
      <c r="F361" s="24" t="n">
        <f aca="false">F298+F332</f>
        <v>0.112886209285714</v>
      </c>
      <c r="G361" s="24" t="n">
        <f aca="false">G298+G332</f>
        <v>0.175190223214286</v>
      </c>
      <c r="H361" s="24" t="n">
        <f aca="false">H298+H332</f>
        <v>0.24140151</v>
      </c>
      <c r="I361" s="24" t="n">
        <f aca="false">I298+I332</f>
        <v>0.290752065</v>
      </c>
      <c r="J361" s="24" t="n">
        <f aca="false">J298+J332</f>
        <v>0.342707468571429</v>
      </c>
      <c r="K361" s="24" t="n">
        <f aca="false">K298+K332</f>
        <v>0.375197291785714</v>
      </c>
      <c r="L361" s="56" t="n">
        <f aca="false">SUM(D361:K361)</f>
        <v>1.61013618</v>
      </c>
    </row>
    <row r="362" customFormat="false" ht="15" hidden="false" customHeight="false" outlineLevel="0" collapsed="false">
      <c r="A362" s="41" t="n">
        <v>152</v>
      </c>
      <c r="B362" s="21" t="s">
        <v>337</v>
      </c>
      <c r="C362" s="11" t="s">
        <v>275</v>
      </c>
      <c r="D362" s="24" t="n">
        <f aca="false">D227+D262+D299+D333</f>
        <v>0.174874736608393</v>
      </c>
      <c r="E362" s="24" t="n">
        <f aca="false">E227+E262+E299+E333</f>
        <v>0.544498236633214</v>
      </c>
      <c r="F362" s="24" t="n">
        <f aca="false">F227+F262+F299+F333</f>
        <v>1.12878524208214</v>
      </c>
      <c r="G362" s="24" t="n">
        <f aca="false">G227+G262+G299+G333</f>
        <v>1.75330740835446</v>
      </c>
      <c r="H362" s="24" t="n">
        <f aca="false">H227+H262+H299+H333</f>
        <v>2.41814616584946</v>
      </c>
      <c r="I362" s="24" t="n">
        <f aca="false">I227+I262+I299+I333</f>
        <v>2.91599309969196</v>
      </c>
      <c r="J362" s="24" t="n">
        <f aca="false">J227+J262+J299+J333</f>
        <v>3.44088062181482</v>
      </c>
      <c r="K362" s="24" t="n">
        <f aca="false">K227+K262+K299+K333</f>
        <v>3.77246713041</v>
      </c>
      <c r="L362" s="56" t="n">
        <f aca="false">SUM(D362:K362)</f>
        <v>16.1489526414445</v>
      </c>
    </row>
    <row r="363" customFormat="false" ht="15" hidden="false" customHeight="false" outlineLevel="0" collapsed="false">
      <c r="A363" s="41" t="n">
        <v>153</v>
      </c>
      <c r="B363" s="21" t="s">
        <v>338</v>
      </c>
      <c r="C363" s="11" t="s">
        <v>275</v>
      </c>
      <c r="D363" s="24" t="n">
        <f aca="false">D228+D263+D300+D334</f>
        <v>0.0585880486714286</v>
      </c>
      <c r="E363" s="24" t="n">
        <f aca="false">E228+E263+E300+E334</f>
        <v>0.182300241985714</v>
      </c>
      <c r="F363" s="24" t="n">
        <f aca="false">F228+F263+F300+F334</f>
        <v>0.377672675914286</v>
      </c>
      <c r="G363" s="24" t="n">
        <f aca="false">G228+G263+G300+G334</f>
        <v>0.586117301785714</v>
      </c>
      <c r="H363" s="24" t="n">
        <f aca="false">H228+H263+H300+H334</f>
        <v>0.8076341196</v>
      </c>
      <c r="I363" s="24" t="n">
        <f aca="false">I228+I263+I300+I334</f>
        <v>0.9727415874</v>
      </c>
      <c r="J363" s="24" t="n">
        <f aca="false">J228+J263+J300+J334</f>
        <v>1.14656384982857</v>
      </c>
      <c r="K363" s="24" t="n">
        <f aca="false">K228+K263+K300+K334</f>
        <v>1.25526196761429</v>
      </c>
      <c r="L363" s="56" t="n">
        <f aca="false">SUM(D363:K363)</f>
        <v>5.3868797928</v>
      </c>
    </row>
    <row r="364" customFormat="false" ht="15" hidden="false" customHeight="false" outlineLevel="0" collapsed="false">
      <c r="A364" s="41" t="n">
        <v>154</v>
      </c>
      <c r="B364" s="21" t="s">
        <v>366</v>
      </c>
      <c r="C364" s="11" t="s">
        <v>275</v>
      </c>
      <c r="D364" s="24" t="n">
        <f aca="false">D229+D264+D301</f>
        <v>0.591639428571429</v>
      </c>
      <c r="E364" s="24" t="n">
        <f aca="false">E229+E264+E301</f>
        <v>1.84092171428571</v>
      </c>
      <c r="F364" s="24" t="n">
        <f aca="false">F229+F264+F301</f>
        <v>3.81385028571429</v>
      </c>
      <c r="G364" s="24" t="n">
        <f aca="false">G229+G264+G301</f>
        <v>5.91878571428572</v>
      </c>
      <c r="H364" s="24" t="n">
        <f aca="false">H229+H264+H301</f>
        <v>8.155728</v>
      </c>
      <c r="I364" s="24" t="n">
        <f aca="false">I229+I264+I301</f>
        <v>9.823032</v>
      </c>
      <c r="J364" s="24" t="n">
        <f aca="false">J229+J264+J301</f>
        <v>11.5783405714286</v>
      </c>
      <c r="K364" s="24" t="n">
        <f aca="false">K229+K264+K301</f>
        <v>12.6760062857143</v>
      </c>
      <c r="L364" s="56" t="n">
        <f aca="false">SUM(D364:K364)</f>
        <v>54.398304</v>
      </c>
    </row>
    <row r="365" customFormat="false" ht="15" hidden="false" customHeight="false" outlineLevel="0" collapsed="false">
      <c r="A365" s="41" t="n">
        <v>155</v>
      </c>
      <c r="B365" s="21" t="s">
        <v>340</v>
      </c>
      <c r="C365" s="11" t="s">
        <v>275</v>
      </c>
      <c r="D365" s="24" t="n">
        <f aca="false">D230+D265+D302+D335</f>
        <v>0.00805038188052857</v>
      </c>
      <c r="E365" s="24" t="n">
        <f aca="false">E230+E265+E302+E335</f>
        <v>0.0261544660650643</v>
      </c>
      <c r="F365" s="24" t="n">
        <f aca="false">F230+F265+F302+F335</f>
        <v>0.0564406994653071</v>
      </c>
      <c r="G365" s="24" t="n">
        <f aca="false">G230+G265+G302+G335</f>
        <v>0.0922143751210929</v>
      </c>
      <c r="H365" s="24" t="n">
        <f aca="false">H230+H265+H302+H335</f>
        <v>0.1337281859628</v>
      </c>
      <c r="I365" s="24" t="n">
        <f aca="false">I230+I265+I302+I335</f>
        <v>0.171688013556107</v>
      </c>
      <c r="J365" s="24" t="n">
        <f aca="false">J230+J265+J302+J335</f>
        <v>0.213985135635686</v>
      </c>
      <c r="K365" s="24" t="n">
        <f aca="false">K230+K265+K302+K335</f>
        <v>0.250643147658107</v>
      </c>
      <c r="L365" s="56" t="n">
        <f aca="false">SUM(D365:K365)</f>
        <v>0.952904405344693</v>
      </c>
    </row>
    <row r="366" customFormat="false" ht="15" hidden="false" customHeight="false" outlineLevel="0" collapsed="false">
      <c r="A366" s="41" t="n">
        <v>156</v>
      </c>
      <c r="B366" s="21" t="s">
        <v>341</v>
      </c>
      <c r="C366" s="11" t="s">
        <v>275</v>
      </c>
      <c r="D366" s="24" t="n">
        <f aca="false">D231+D266+D303+D336</f>
        <v>0.00359263679351786</v>
      </c>
      <c r="E366" s="24" t="n">
        <f aca="false">E231+E266+E303+E336</f>
        <v>0.0147780002807679</v>
      </c>
      <c r="F366" s="24" t="n">
        <f aca="false">F231+F266+F303+F336</f>
        <v>0.0379643762068393</v>
      </c>
      <c r="G366" s="24" t="n">
        <f aca="false">G231+G266+G303+G336</f>
        <v>0.0739755567324643</v>
      </c>
      <c r="H366" s="24" t="n">
        <f aca="false">H231+H266+H303+H336</f>
        <v>0.123636819494732</v>
      </c>
      <c r="I366" s="24" t="n">
        <f aca="false">I231+I266+I303+I336</f>
        <v>0.18351429852375</v>
      </c>
      <c r="J366" s="24" t="n">
        <f aca="false">J231+J266+J303+J336</f>
        <v>0.254161149863625</v>
      </c>
      <c r="K366" s="24" t="n">
        <f aca="false">K231+K266+K303+K336</f>
        <v>0.331603693876768</v>
      </c>
      <c r="L366" s="56" t="n">
        <f aca="false">SUM(D366:K366)</f>
        <v>1.02322653177246</v>
      </c>
    </row>
    <row r="367" customFormat="false" ht="15" hidden="false" customHeight="false" outlineLevel="0" collapsed="false">
      <c r="A367" s="41" t="n">
        <v>157</v>
      </c>
      <c r="B367" s="17" t="s">
        <v>342</v>
      </c>
      <c r="C367" s="11" t="s">
        <v>275</v>
      </c>
      <c r="D367" s="56" t="n">
        <f aca="false">SUM(D360:D366)</f>
        <v>1.4430966555253</v>
      </c>
      <c r="E367" s="56" t="n">
        <f aca="false">SUM(E360:E366)</f>
        <v>4.49535163025048</v>
      </c>
      <c r="F367" s="56" t="n">
        <f aca="false">SUM(F360:F366)</f>
        <v>9.32340062538286</v>
      </c>
      <c r="G367" s="56" t="n">
        <f aca="false">SUM(G360:G366)</f>
        <v>14.4903654812794</v>
      </c>
      <c r="H367" s="56" t="n">
        <f aca="false">SUM(H360:H366)</f>
        <v>19.997405598907</v>
      </c>
      <c r="I367" s="56" t="n">
        <f aca="false">SUM(I360:I366)</f>
        <v>24.1342653011718</v>
      </c>
      <c r="J367" s="56" t="n">
        <f aca="false">SUM(J360:J366)</f>
        <v>28.5001845605713</v>
      </c>
      <c r="K367" s="56" t="n">
        <f aca="false">SUM(K360:K366)</f>
        <v>31.2771962622735</v>
      </c>
      <c r="L367" s="56" t="n">
        <f aca="false">SUM(D367:K367)</f>
        <v>133.661266115362</v>
      </c>
    </row>
    <row r="368" customFormat="false" ht="15" hidden="false" customHeight="false" outlineLevel="0" collapsed="false">
      <c r="A368" s="41" t="n">
        <v>158</v>
      </c>
      <c r="B368" s="21" t="s">
        <v>343</v>
      </c>
      <c r="C368" s="11" t="s">
        <v>275</v>
      </c>
      <c r="D368" s="24" t="n">
        <f aca="false">D233+D268+D305+D338</f>
        <v>0.125616124044643</v>
      </c>
      <c r="E368" s="24" t="n">
        <f aca="false">E233+E268+E305+E338</f>
        <v>0.391232009410714</v>
      </c>
      <c r="F368" s="24" t="n">
        <f aca="false">F233+F268+F305+F338</f>
        <v>0.811272556607143</v>
      </c>
      <c r="G368" s="24" t="n">
        <f aca="false">G233+G268+G305+G338</f>
        <v>1.26057404209821</v>
      </c>
      <c r="H368" s="24" t="n">
        <f aca="false">H233+H268+H305+H338</f>
        <v>1.73921899234821</v>
      </c>
      <c r="I368" s="24" t="n">
        <f aca="false">I233+I268+I305+I338</f>
        <v>2.09831753772321</v>
      </c>
      <c r="J368" s="24" t="n">
        <f aca="false">J233+J268+J305+J338</f>
        <v>2.47714344586607</v>
      </c>
      <c r="K368" s="24" t="n">
        <f aca="false">K233+K268+K305+K338</f>
        <v>2.7174368295</v>
      </c>
      <c r="L368" s="56" t="n">
        <f aca="false">SUM(D368:K368)</f>
        <v>11.6208115375982</v>
      </c>
    </row>
    <row r="369" customFormat="false" ht="15" hidden="false" customHeight="false" outlineLevel="0" collapsed="false">
      <c r="A369" s="41" t="n">
        <v>159</v>
      </c>
      <c r="B369" s="21" t="s">
        <v>344</v>
      </c>
      <c r="C369" s="11" t="s">
        <v>275</v>
      </c>
      <c r="D369" s="24" t="n">
        <f aca="false">D234+D269+D306+D339</f>
        <v>0.0635908133121429</v>
      </c>
      <c r="E369" s="24" t="n">
        <f aca="false">E234+E269+E306+E339</f>
        <v>0.197999358775714</v>
      </c>
      <c r="F369" s="24" t="n">
        <f aca="false">F234+F269+F306+F339</f>
        <v>0.410467360757143</v>
      </c>
      <c r="G369" s="24" t="n">
        <f aca="false">G234+G269+G306+G339</f>
        <v>0.637566330310714</v>
      </c>
      <c r="H369" s="24" t="n">
        <f aca="false">H234+H269+H306+H339</f>
        <v>0.879325878490714</v>
      </c>
      <c r="I369" s="24" t="n">
        <f aca="false">I234+I269+I306+I339</f>
        <v>1.06036112716071</v>
      </c>
      <c r="J369" s="24" t="n">
        <f aca="false">J234+J269+J306+J339</f>
        <v>1.25122931702357</v>
      </c>
      <c r="K369" s="24" t="n">
        <f aca="false">K234+K269+K306+K339</f>
        <v>1.37180622924</v>
      </c>
      <c r="L369" s="56" t="n">
        <f aca="false">SUM(D369:K369)</f>
        <v>5.87234641507071</v>
      </c>
    </row>
    <row r="370" customFormat="false" ht="15" hidden="false" customHeight="false" outlineLevel="0" collapsed="false">
      <c r="A370" s="41" t="n">
        <v>160</v>
      </c>
      <c r="B370" s="21" t="s">
        <v>345</v>
      </c>
      <c r="C370" s="11" t="s">
        <v>275</v>
      </c>
      <c r="D370" s="24" t="n">
        <f aca="false">D235+D270+D307+D340</f>
        <v>0.0443848853571429</v>
      </c>
      <c r="E370" s="24" t="n">
        <f aca="false">E235+E270+E307+E340</f>
        <v>0.138106243928571</v>
      </c>
      <c r="F370" s="24" t="n">
        <f aca="false">F235+F270+F307+F340</f>
        <v>0.286115663571429</v>
      </c>
      <c r="G370" s="24" t="n">
        <f aca="false">G235+G270+G307+G340</f>
        <v>0.444028258928571</v>
      </c>
      <c r="H370" s="24" t="n">
        <f aca="false">H235+H270+H307+H340</f>
        <v>0.61184403</v>
      </c>
      <c r="I370" s="24" t="n">
        <f aca="false">I235+I270+I307+I340</f>
        <v>0.736925445</v>
      </c>
      <c r="J370" s="24" t="n">
        <f aca="false">J235+J270+J307+J340</f>
        <v>0.868608977142857</v>
      </c>
      <c r="K370" s="24" t="n">
        <f aca="false">K235+K270+K307+K340</f>
        <v>0.950956036071429</v>
      </c>
      <c r="L370" s="56" t="n">
        <f aca="false">SUM(D370:K370)</f>
        <v>4.08096954</v>
      </c>
    </row>
    <row r="371" customFormat="false" ht="15" hidden="false" customHeight="false" outlineLevel="0" collapsed="false">
      <c r="A371" s="41" t="n">
        <v>161</v>
      </c>
      <c r="B371" s="21" t="s">
        <v>346</v>
      </c>
      <c r="C371" s="11" t="s">
        <v>275</v>
      </c>
      <c r="D371" s="24" t="n">
        <f aca="false">D236+D271+D308+D341</f>
        <v>0.0602957395414286</v>
      </c>
      <c r="E371" s="24" t="n">
        <f aca="false">E236+E271+E308+E341</f>
        <v>0.187791364517143</v>
      </c>
      <c r="F371" s="24" t="n">
        <f aca="false">F236+F271+F308+F341</f>
        <v>0.389410827171429</v>
      </c>
      <c r="G371" s="24" t="n">
        <f aca="false">G236+G271+G308+G341</f>
        <v>0.605075540207143</v>
      </c>
      <c r="H371" s="24" t="n">
        <f aca="false">H236+H271+H308+H341</f>
        <v>0.834825116327143</v>
      </c>
      <c r="I371" s="24" t="n">
        <f aca="false">I236+I271+I308+I341</f>
        <v>1.00719241810714</v>
      </c>
      <c r="J371" s="24" t="n">
        <f aca="false">J236+J271+J308+J341</f>
        <v>1.18902885401571</v>
      </c>
      <c r="K371" s="24" t="n">
        <f aca="false">K236+K271+K308+K341</f>
        <v>1.30436967816</v>
      </c>
      <c r="L371" s="56" t="n">
        <f aca="false">SUM(D371:K371)</f>
        <v>5.57798953804714</v>
      </c>
    </row>
    <row r="372" customFormat="false" ht="15" hidden="false" customHeight="false" outlineLevel="0" collapsed="false">
      <c r="A372" s="41" t="n">
        <v>162</v>
      </c>
      <c r="B372" s="21" t="s">
        <v>347</v>
      </c>
      <c r="C372" s="11" t="s">
        <v>275</v>
      </c>
      <c r="D372" s="24" t="n">
        <f aca="false">D237+D272+D309+D342</f>
        <v>0.394996189285714</v>
      </c>
      <c r="E372" s="24" t="n">
        <f aca="false">E237+E272+E309+E342</f>
        <v>0.834058242857143</v>
      </c>
      <c r="F372" s="24" t="n">
        <f aca="false">F237+F272+F309+F342</f>
        <v>1.31718616071429</v>
      </c>
      <c r="G372" s="24" t="n">
        <f aca="false">G237+G272+G309+G342</f>
        <v>1.40531788928571</v>
      </c>
      <c r="H372" s="24" t="n">
        <f aca="false">H237+H272+H309+H342</f>
        <v>1.49344961785714</v>
      </c>
      <c r="I372" s="24" t="n">
        <f aca="false">I237+I272+I309+I342</f>
        <v>1.11314205</v>
      </c>
      <c r="J372" s="24" t="n">
        <f aca="false">J237+J272+J309+J342</f>
        <v>1.17189653571429</v>
      </c>
      <c r="K372" s="24" t="n">
        <f aca="false">K237+K272+K309+K342</f>
        <v>0.732834482142858</v>
      </c>
      <c r="L372" s="56" t="n">
        <f aca="false">SUM(D372:K372)</f>
        <v>8.46288116785715</v>
      </c>
    </row>
    <row r="373" customFormat="false" ht="15" hidden="false" customHeight="false" outlineLevel="0" collapsed="false">
      <c r="A373" s="41" t="n">
        <v>163</v>
      </c>
      <c r="B373" s="21" t="s">
        <v>348</v>
      </c>
      <c r="C373" s="11" t="s">
        <v>275</v>
      </c>
      <c r="D373" s="24" t="n">
        <f aca="false">D238+D273+D310</f>
        <v>0.0887459142857143</v>
      </c>
      <c r="E373" s="24" t="n">
        <f aca="false">E238+E273+E310</f>
        <v>0.276138257142857</v>
      </c>
      <c r="F373" s="24" t="n">
        <f aca="false">F238+F273+F310</f>
        <v>0.572077542857143</v>
      </c>
      <c r="G373" s="24" t="n">
        <f aca="false">G238+G273+G310</f>
        <v>0.887817857142857</v>
      </c>
      <c r="H373" s="24" t="n">
        <f aca="false">H238+H273+H310</f>
        <v>1.2233592</v>
      </c>
      <c r="I373" s="24" t="n">
        <f aca="false">I238+I273+I310</f>
        <v>1.4734548</v>
      </c>
      <c r="J373" s="24" t="n">
        <f aca="false">J238+J273+J310</f>
        <v>1.73675108571429</v>
      </c>
      <c r="K373" s="24" t="n">
        <f aca="false">K238+K273+K310</f>
        <v>1.90140094285714</v>
      </c>
      <c r="L373" s="56" t="n">
        <f aca="false">SUM(D373:K373)</f>
        <v>8.1597456</v>
      </c>
    </row>
    <row r="374" customFormat="false" ht="15" hidden="false" customHeight="false" outlineLevel="0" collapsed="false">
      <c r="A374" s="41" t="n">
        <v>164</v>
      </c>
      <c r="B374" s="21" t="s">
        <v>349</v>
      </c>
      <c r="C374" s="11" t="s">
        <v>275</v>
      </c>
      <c r="D374" s="24" t="n">
        <f aca="false">D239+D274+D311</f>
        <v>0.118327885714286</v>
      </c>
      <c r="E374" s="24" t="n">
        <f aca="false">E239+E274+E311</f>
        <v>0.368184342857143</v>
      </c>
      <c r="F374" s="24" t="n">
        <f aca="false">F239+F274+F311</f>
        <v>0.762770057142857</v>
      </c>
      <c r="G374" s="24" t="n">
        <f aca="false">G239+G274+G311</f>
        <v>1.18375714285714</v>
      </c>
      <c r="H374" s="24" t="n">
        <f aca="false">H239+H274+H311</f>
        <v>1.6311456</v>
      </c>
      <c r="I374" s="24" t="n">
        <f aca="false">I239+I274+I311</f>
        <v>1.9646064</v>
      </c>
      <c r="J374" s="24" t="n">
        <f aca="false">J239+J274+J311</f>
        <v>2.31566811428571</v>
      </c>
      <c r="K374" s="24" t="n">
        <f aca="false">K239+K274+K311</f>
        <v>2.53520125714286</v>
      </c>
      <c r="L374" s="56" t="n">
        <f aca="false">SUM(D374:K374)</f>
        <v>10.8796608</v>
      </c>
    </row>
    <row r="375" customFormat="false" ht="15" hidden="false" customHeight="false" outlineLevel="0" collapsed="false">
      <c r="A375" s="41" t="n">
        <v>165</v>
      </c>
      <c r="B375" s="21" t="s">
        <v>350</v>
      </c>
      <c r="C375" s="11" t="s">
        <v>275</v>
      </c>
      <c r="D375" s="24" t="n">
        <f aca="false">SUM(D368:D374)</f>
        <v>0.895957551541072</v>
      </c>
      <c r="E375" s="24" t="n">
        <f aca="false">SUM(E368:E374)</f>
        <v>2.39350981948929</v>
      </c>
      <c r="F375" s="24" t="n">
        <f aca="false">SUM(F368:F374)</f>
        <v>4.54930016882143</v>
      </c>
      <c r="G375" s="24" t="n">
        <f aca="false">SUM(G368:G374)</f>
        <v>6.42413706083036</v>
      </c>
      <c r="H375" s="24" t="n">
        <f aca="false">SUM(H368:H374)</f>
        <v>8.41316843502322</v>
      </c>
      <c r="I375" s="24" t="n">
        <f aca="false">SUM(I368:I374)</f>
        <v>9.45399977799107</v>
      </c>
      <c r="J375" s="24" t="n">
        <f aca="false">SUM(J368:J374)</f>
        <v>11.0103263297625</v>
      </c>
      <c r="K375" s="24" t="n">
        <f aca="false">SUM(K368:K374)</f>
        <v>11.5140054551143</v>
      </c>
      <c r="L375" s="56" t="n">
        <f aca="false">SUM(D375:K375)</f>
        <v>54.6544045985732</v>
      </c>
    </row>
    <row r="376" customFormat="false" ht="15" hidden="false" customHeight="false" outlineLevel="0" collapsed="false">
      <c r="A376" s="41" t="n">
        <v>166</v>
      </c>
      <c r="B376" s="17" t="s">
        <v>367</v>
      </c>
      <c r="C376" s="11" t="s">
        <v>275</v>
      </c>
      <c r="D376" s="56" t="n">
        <f aca="false">D367-D375</f>
        <v>0.547139103984225</v>
      </c>
      <c r="E376" s="56" t="n">
        <f aca="false">E367-E375</f>
        <v>2.10184181076119</v>
      </c>
      <c r="F376" s="56" t="n">
        <f aca="false">F367-F375</f>
        <v>4.77410045656143</v>
      </c>
      <c r="G376" s="56" t="n">
        <f aca="false">G367-G375</f>
        <v>8.06622842044909</v>
      </c>
      <c r="H376" s="56" t="n">
        <f aca="false">H367-H375</f>
        <v>11.5842371638838</v>
      </c>
      <c r="I376" s="56" t="n">
        <f aca="false">I367-I375</f>
        <v>14.6802655231808</v>
      </c>
      <c r="J376" s="56" t="n">
        <f aca="false">J367-J375</f>
        <v>17.4898582308088</v>
      </c>
      <c r="K376" s="56" t="n">
        <f aca="false">K367-K375</f>
        <v>19.7631908071592</v>
      </c>
      <c r="L376" s="56" t="n">
        <f aca="false">SUM(D376:K376)</f>
        <v>79.0068615167884</v>
      </c>
    </row>
    <row r="377" customFormat="false" ht="15" hidden="false" customHeight="false" outlineLevel="0" collapsed="false">
      <c r="A377" s="41" t="n">
        <v>167</v>
      </c>
      <c r="B377" s="17" t="s">
        <v>279</v>
      </c>
      <c r="C377" s="11" t="s">
        <v>365</v>
      </c>
      <c r="D377" s="61" t="n">
        <f aca="false">IF(D367&gt;0,D376/D367,0)</f>
        <v>0.379142382382601</v>
      </c>
      <c r="E377" s="61" t="n">
        <f aca="false">IF(E367&gt;0,E376/E367,0)</f>
        <v>0.467558932791221</v>
      </c>
      <c r="F377" s="61" t="n">
        <f aca="false">IF(F367&gt;0,F376/F367,0)</f>
        <v>0.51205570246161</v>
      </c>
      <c r="G377" s="61" t="n">
        <f aca="false">IF(G367&gt;0,G376/G367,0)</f>
        <v>0.556661488688474</v>
      </c>
      <c r="H377" s="61" t="n">
        <f aca="false">IF(H367&gt;0,H376/H367,0)</f>
        <v>0.57928700333592</v>
      </c>
      <c r="I377" s="61" t="n">
        <f aca="false">IF(I367&gt;0,I376/I367,0)</f>
        <v>0.608274805136412</v>
      </c>
      <c r="J377" s="61" t="n">
        <f aca="false">IF(J367&gt;0,J376/J367,0)</f>
        <v>0.613675262124625</v>
      </c>
      <c r="K377" s="61" t="n">
        <f aca="false">IF(K367&gt;0,K376/K367,0)</f>
        <v>0.631872199842846</v>
      </c>
      <c r="L377" s="61" t="n">
        <f aca="false">IF(L367&gt;0,L376/L367,0)</f>
        <v>0.591097659127353</v>
      </c>
    </row>
    <row r="378" customFormat="false" ht="15" hidden="false" customHeight="false" outlineLevel="0" collapsed="false">
      <c r="A378" s="41" t="n">
        <v>168</v>
      </c>
      <c r="B378" s="21" t="s">
        <v>368</v>
      </c>
      <c r="C378" s="11" t="s">
        <v>365</v>
      </c>
      <c r="D378" s="23" t="n">
        <f aca="false">IF(D367&gt;0,SUM(D360:D363)/D367,0)</f>
        <v>0.581952847762733</v>
      </c>
      <c r="E378" s="23" t="n">
        <f aca="false">IF(E367&gt;0,SUM(E360:E363)/E367,0)</f>
        <v>0.581377757422128</v>
      </c>
      <c r="F378" s="23" t="n">
        <f aca="false">IF(F367&gt;0,SUM(F360:F363)/F367,0)</f>
        <v>0.580812246687518</v>
      </c>
      <c r="G378" s="23" t="n">
        <f aca="false">IF(G367&gt;0,SUM(G360:G363)/G367,0)</f>
        <v>0.580067483183869</v>
      </c>
      <c r="H378" s="23" t="n">
        <f aca="false">IF(H367&gt;0,SUM(H360:H363)/H367,0)</f>
        <v>0.579290775303504</v>
      </c>
      <c r="I378" s="23" t="n">
        <f aca="false">IF(I367&gt;0,SUM(I360:I363)/I367,0)</f>
        <v>0.578266245727163</v>
      </c>
      <c r="J378" s="23" t="n">
        <f aca="false">IF(J367&gt;0,SUM(J360:J363)/J367,0)</f>
        <v>0.577318987835831</v>
      </c>
      <c r="K378" s="23" t="n">
        <f aca="false">IF(K367&gt;0,SUM(K360:K363)/K367,0)</f>
        <v>0.576104807602551</v>
      </c>
      <c r="L378" s="61" t="n">
        <f aca="false">IF(L367&gt;0,SUM(L360:L363)/L367,0)</f>
        <v>0.578229081800999</v>
      </c>
    </row>
    <row r="379" customFormat="false" ht="15" hidden="false" customHeight="false" outlineLevel="0" collapsed="false">
      <c r="A379" s="41" t="n">
        <v>169</v>
      </c>
      <c r="B379" s="21" t="s">
        <v>369</v>
      </c>
      <c r="C379" s="11" t="s">
        <v>365</v>
      </c>
      <c r="D379" s="23" t="n">
        <f aca="false">IF(D367&gt;0,D364/D367,0)</f>
        <v>0.409979072646432</v>
      </c>
      <c r="E379" s="23" t="n">
        <f aca="false">IF(E367&gt;0,E364/E367,0)</f>
        <v>0.409516733217851</v>
      </c>
      <c r="F379" s="23" t="n">
        <f aca="false">IF(F367&gt;0,F364/F367,0)</f>
        <v>0.40906214791748</v>
      </c>
      <c r="G379" s="23" t="n">
        <f aca="false">IF(G367&gt;0,G364/G367,0)</f>
        <v>0.408463521636661</v>
      </c>
      <c r="H379" s="23" t="n">
        <f aca="false">IF(H367&gt;0,H364/H367,0)</f>
        <v>0.407839304936925</v>
      </c>
      <c r="I379" s="23" t="n">
        <f aca="false">IF(I367&gt;0,I364/I367,0)</f>
        <v>0.407015994786593</v>
      </c>
      <c r="J379" s="23" t="n">
        <f aca="false">IF(J367&gt;0,J364/J367,0)</f>
        <v>0.406254933080212</v>
      </c>
      <c r="K379" s="23" t="n">
        <f aca="false">IF(K367&gt;0,K364/K367,0)</f>
        <v>0.405279494345345</v>
      </c>
      <c r="L379" s="61" t="n">
        <f aca="false">IF(L367&gt;0,L364/L367,0)</f>
        <v>0.406986298880705</v>
      </c>
    </row>
    <row r="380" customFormat="false" ht="15" hidden="false" customHeight="false" outlineLevel="0" collapsed="false">
      <c r="A380" s="39"/>
      <c r="B380" s="40" t="s">
        <v>370</v>
      </c>
      <c r="C380" s="39"/>
      <c r="D380" s="39"/>
      <c r="E380" s="39"/>
      <c r="F380" s="39"/>
      <c r="G380" s="39"/>
      <c r="H380" s="39"/>
      <c r="I380" s="39"/>
      <c r="J380" s="39"/>
      <c r="K380" s="39"/>
      <c r="L380" s="39"/>
    </row>
    <row r="381" customFormat="false" ht="15" hidden="false" customHeight="false" outlineLevel="0" collapsed="false">
      <c r="A381" s="41" t="n">
        <v>170</v>
      </c>
      <c r="B381" s="17" t="s">
        <v>371</v>
      </c>
      <c r="C381" s="11" t="s">
        <v>47</v>
      </c>
      <c r="D381" s="55" t="n">
        <f aca="false">IF(D348&gt;0,(D376+D372)*100/D348/3,0)</f>
        <v>187.502858497511</v>
      </c>
      <c r="E381" s="55" t="n">
        <f aca="false">IF(E348&gt;0,(E376+E372)*100/E348/3,0)</f>
        <v>187.606074081239</v>
      </c>
      <c r="F381" s="55" t="n">
        <f aca="false">IF(F348&gt;0,(F376+F372)*100/F348/3,0)</f>
        <v>187.707773659642</v>
      </c>
      <c r="G381" s="55" t="n">
        <f aca="false">IF(G348&gt;0,(G376+G372)*100/G348/3,0)</f>
        <v>187.841927435883</v>
      </c>
      <c r="H381" s="55" t="n">
        <f aca="false">IF(H348&gt;0,(H376+H372)*100/H348/3,0)</f>
        <v>187.982175322327</v>
      </c>
      <c r="I381" s="55" t="n">
        <f aca="false">IF(I348&gt;0,(I376+I372)*100/I348/3,0)</f>
        <v>188.167511461557</v>
      </c>
      <c r="J381" s="55" t="n">
        <f aca="false">IF(J348&gt;0,(J376+J372)*100/J348/3,0)</f>
        <v>188.339464128191</v>
      </c>
      <c r="K381" s="55" t="n">
        <f aca="false">IF(K348&gt;0,(K376+K372)*100/K348/3,0)</f>
        <v>188.560273663042</v>
      </c>
      <c r="L381" s="62" t="n">
        <f aca="false">K381</f>
        <v>188.560273663042</v>
      </c>
    </row>
    <row r="382" customFormat="false" ht="15" hidden="false" customHeight="false" outlineLevel="0" collapsed="false">
      <c r="A382" s="41" t="n">
        <v>171</v>
      </c>
      <c r="B382" s="21" t="s">
        <v>372</v>
      </c>
      <c r="C382" s="11" t="s">
        <v>47</v>
      </c>
      <c r="D382" s="34" t="n">
        <f aca="false">IF(D346&gt;0,(D376+D372)*100/D346/3,0)</f>
        <v>318.397339214369</v>
      </c>
      <c r="E382" s="34" t="n">
        <f aca="false">IF(E346&gt;0,(E376+E372)*100/E346/3,0)</f>
        <v>318.874075143566</v>
      </c>
      <c r="F382" s="34" t="n">
        <f aca="false">IF(F346&gt;0,(F376+F372)*100/F346/3,0)</f>
        <v>319.343925874668</v>
      </c>
      <c r="G382" s="34" t="n">
        <f aca="false">IF(G346&gt;0,(G376+G372)*100/G346/3,0)</f>
        <v>319.964308102464</v>
      </c>
      <c r="H382" s="34" t="n">
        <f aca="false">IF(H346&gt;0,(H376+H372)*100/H346/3,0)</f>
        <v>320.613247997392</v>
      </c>
      <c r="I382" s="34" t="n">
        <f aca="false">IF(I346&gt;0,(I376+I372)*100/I346/3,0)</f>
        <v>321.4722943889</v>
      </c>
      <c r="J382" s="34" t="n">
        <f aca="false">IF(J346&gt;0,(J376+J372)*100/J346/3,0)</f>
        <v>322.26966202746</v>
      </c>
      <c r="K382" s="34" t="n">
        <f aca="false">IF(K346&gt;0,(K376+K372)*100/K346/3,0)</f>
        <v>323.296101689014</v>
      </c>
      <c r="L382" s="57" t="n">
        <f aca="false">K382</f>
        <v>323.296101689014</v>
      </c>
    </row>
    <row r="383" customFormat="false" ht="15" hidden="false" customHeight="false" outlineLevel="0" collapsed="false">
      <c r="A383" s="41" t="n">
        <v>172</v>
      </c>
      <c r="B383" s="21" t="s">
        <v>373</v>
      </c>
      <c r="C383" s="11" t="s">
        <v>374</v>
      </c>
      <c r="D383" s="34" t="n">
        <f aca="false">IF(D347&gt;0,D372*100/D347,0)</f>
        <v>400.470303681806</v>
      </c>
      <c r="E383" s="34" t="n">
        <f aca="false">IF(E347&gt;0,E372*100/E347,0)</f>
        <v>400.470303681806</v>
      </c>
      <c r="F383" s="34" t="n">
        <f aca="false">IF(F347&gt;0,F372*100/F347,0)</f>
        <v>400.470303681806</v>
      </c>
      <c r="G383" s="34" t="n">
        <f aca="false">IF(G347&gt;0,G372*100/G347,0)</f>
        <v>400.470303681806</v>
      </c>
      <c r="H383" s="34" t="n">
        <f aca="false">IF(H347&gt;0,H372*100/H347,0)</f>
        <v>400.470303681806</v>
      </c>
      <c r="I383" s="34" t="n">
        <f aca="false">IF(I347&gt;0,I372*100/I347,0)</f>
        <v>400.470303681806</v>
      </c>
      <c r="J383" s="34" t="n">
        <f aca="false">IF(J347&gt;0,J372*100/J347,0)</f>
        <v>400.470303681806</v>
      </c>
      <c r="K383" s="34" t="n">
        <f aca="false">IF(K347&gt;0,K372*100/K347,0)</f>
        <v>400.470303681806</v>
      </c>
      <c r="L383" s="57" t="n">
        <f aca="false">K383</f>
        <v>400.470303681806</v>
      </c>
    </row>
    <row r="384" customFormat="false" ht="15" hidden="false" customHeight="false" outlineLevel="0" collapsed="false">
      <c r="A384" s="41" t="n">
        <v>173</v>
      </c>
      <c r="B384" s="21" t="s">
        <v>375</v>
      </c>
      <c r="C384" s="11" t="s">
        <v>376</v>
      </c>
      <c r="D384" s="53" t="n">
        <f aca="false">IF(D382&gt;0,D383/D382,"never")</f>
        <v>1.25776900230997</v>
      </c>
      <c r="E384" s="53" t="n">
        <f aca="false">IF(E382&gt;0,E383/E382,"never")</f>
        <v>1.25588856197075</v>
      </c>
      <c r="F384" s="53" t="n">
        <f aca="false">IF(F382&gt;0,F383/F382,"never")</f>
        <v>1.25404077307854</v>
      </c>
      <c r="G384" s="53" t="n">
        <f aca="false">IF(G382&gt;0,G383/G382,"never")</f>
        <v>1.25160929997718</v>
      </c>
      <c r="H384" s="53" t="n">
        <f aca="false">IF(H382&gt;0,H383/H382,"never")</f>
        <v>1.24907596982725</v>
      </c>
      <c r="I384" s="53" t="n">
        <f aca="false">IF(I382&gt;0,I383/I382,"never")</f>
        <v>1.2457381574455</v>
      </c>
      <c r="J384" s="53" t="n">
        <f aca="false">IF(J382&gt;0,J383/J382,"never")</f>
        <v>1.24265592101463</v>
      </c>
      <c r="K384" s="53" t="n">
        <f aca="false">IF(K382&gt;0,K383/K382,"never")</f>
        <v>1.23871058633125</v>
      </c>
      <c r="L384" s="63" t="n">
        <f aca="false">K384</f>
        <v>1.23871058633125</v>
      </c>
    </row>
    <row r="385" customFormat="false" ht="15" hidden="false" customHeight="false" outlineLevel="0" collapsed="false">
      <c r="A385" s="41" t="n">
        <v>174</v>
      </c>
      <c r="B385" s="21" t="s">
        <v>377</v>
      </c>
      <c r="C385" s="11" t="s">
        <v>365</v>
      </c>
      <c r="D385" s="23" t="n">
        <f aca="false">D376/Baseline!$F$29</f>
        <v>0.00269526652208978</v>
      </c>
      <c r="E385" s="23" t="n">
        <f aca="false">E376/Baseline!$F$29</f>
        <v>0.0103539005456216</v>
      </c>
      <c r="F385" s="23" t="n">
        <f aca="false">F376/Baseline!$F$29</f>
        <v>0.0235177362392189</v>
      </c>
      <c r="G385" s="23" t="n">
        <f aca="false">G376/Baseline!$F$29</f>
        <v>0.0397351153716704</v>
      </c>
      <c r="H385" s="23" t="n">
        <f aca="false">H376/Baseline!$F$29</f>
        <v>0.057065207703861</v>
      </c>
      <c r="I385" s="23" t="n">
        <f aca="false">I376/Baseline!$F$29</f>
        <v>0.0723165789319249</v>
      </c>
      <c r="J385" s="23" t="n">
        <f aca="false">J376/Baseline!$F$29</f>
        <v>0.0861569370975802</v>
      </c>
      <c r="K385" s="23" t="n">
        <f aca="false">K376/Baseline!$F$29</f>
        <v>0.0973556197397003</v>
      </c>
      <c r="L385" s="45" t="n">
        <f aca="false">K385</f>
        <v>0.0973556197397003</v>
      </c>
    </row>
    <row r="386" customFormat="false" ht="15" hidden="false" customHeight="false" outlineLevel="0" collapsed="false">
      <c r="A386" s="41" t="n">
        <v>175</v>
      </c>
      <c r="B386" s="21" t="s">
        <v>378</v>
      </c>
      <c r="C386" s="11" t="s">
        <v>365</v>
      </c>
      <c r="D386" s="64" t="n">
        <f aca="false">D364/Baseline!$F$31</f>
        <v>0.000726829764829765</v>
      </c>
      <c r="E386" s="64" t="n">
        <f aca="false">E364/Baseline!$F$31</f>
        <v>0.00226157458757459</v>
      </c>
      <c r="F386" s="64" t="n">
        <f aca="false">F364/Baseline!$F$31</f>
        <v>0.00468531976131976</v>
      </c>
      <c r="G386" s="64" t="n">
        <f aca="false">G364/Baseline!$F$31</f>
        <v>0.00727123552123552</v>
      </c>
      <c r="H386" s="64" t="n">
        <f aca="false">H364/Baseline!$F$31</f>
        <v>0.0100193218673219</v>
      </c>
      <c r="I386" s="64" t="n">
        <f aca="false">I364/Baseline!$F$31</f>
        <v>0.0120676068796069</v>
      </c>
      <c r="J386" s="64" t="n">
        <f aca="false">J364/Baseline!$F$31</f>
        <v>0.0142240056160056</v>
      </c>
      <c r="K386" s="64" t="n">
        <f aca="false">K364/Baseline!$F$31</f>
        <v>0.0155724892944893</v>
      </c>
      <c r="L386" s="65" t="n">
        <f aca="false">K386</f>
        <v>0.0155724892944893</v>
      </c>
    </row>
    <row r="387" customFormat="false" ht="15" hidden="false" customHeight="false" outlineLevel="0" collapsed="false">
      <c r="A387" s="39"/>
      <c r="B387" s="40" t="s">
        <v>379</v>
      </c>
      <c r="C387" s="39"/>
      <c r="D387" s="39"/>
      <c r="E387" s="39"/>
      <c r="F387" s="39"/>
      <c r="G387" s="39"/>
      <c r="H387" s="39"/>
      <c r="I387" s="39"/>
      <c r="J387" s="39"/>
      <c r="K387" s="39"/>
      <c r="L387" s="39"/>
    </row>
    <row r="388" customFormat="false" ht="15" hidden="false" customHeight="false" outlineLevel="0" collapsed="false">
      <c r="A388" s="41" t="n">
        <v>176</v>
      </c>
      <c r="B388" s="21" t="s">
        <v>380</v>
      </c>
      <c r="C388" s="11" t="s">
        <v>47</v>
      </c>
      <c r="D388" s="34" t="n">
        <f aca="false">Assumptions!$E$56*Assumptions!$E$59</f>
        <v>1750</v>
      </c>
      <c r="E388" s="34" t="n">
        <f aca="false">Assumptions!$E$56*Assumptions!$E$59</f>
        <v>1750</v>
      </c>
      <c r="F388" s="34" t="n">
        <f aca="false">Assumptions!$E$56*Assumptions!$E$59</f>
        <v>1750</v>
      </c>
      <c r="G388" s="34" t="n">
        <f aca="false">Assumptions!$E$56*Assumptions!$E$59</f>
        <v>1750</v>
      </c>
      <c r="H388" s="34" t="n">
        <f aca="false">Assumptions!$E$56*Assumptions!$E$59</f>
        <v>1750</v>
      </c>
      <c r="I388" s="34" t="n">
        <f aca="false">Assumptions!$E$56*Assumptions!$E$59</f>
        <v>1750</v>
      </c>
      <c r="J388" s="34" t="n">
        <f aca="false">Assumptions!$E$56*Assumptions!$E$59</f>
        <v>1750</v>
      </c>
      <c r="K388" s="34" t="n">
        <f aca="false">Assumptions!$E$56*Assumptions!$E$59</f>
        <v>1750</v>
      </c>
      <c r="L388" s="57" t="n">
        <f aca="false">K388</f>
        <v>1750</v>
      </c>
    </row>
    <row r="389" customFormat="false" ht="15" hidden="false" customHeight="false" outlineLevel="0" collapsed="false">
      <c r="A389" s="41" t="n">
        <v>177</v>
      </c>
      <c r="B389" s="21" t="s">
        <v>381</v>
      </c>
      <c r="C389" s="11" t="s">
        <v>47</v>
      </c>
      <c r="D389" s="34" t="n">
        <f aca="false">Assumptions!$E$56*Assumptions!$E$42*Assumptions!$E$58</f>
        <v>700</v>
      </c>
      <c r="E389" s="34" t="n">
        <f aca="false">Assumptions!$E$56*Assumptions!$E$42*Assumptions!$E$58</f>
        <v>700</v>
      </c>
      <c r="F389" s="34" t="n">
        <f aca="false">Assumptions!$E$56*Assumptions!$E$42*Assumptions!$E$58</f>
        <v>700</v>
      </c>
      <c r="G389" s="34" t="n">
        <f aca="false">Assumptions!$E$56*Assumptions!$E$42*Assumptions!$E$58</f>
        <v>700</v>
      </c>
      <c r="H389" s="34" t="n">
        <f aca="false">Assumptions!$E$56*Assumptions!$E$42*Assumptions!$E$58</f>
        <v>700</v>
      </c>
      <c r="I389" s="34" t="n">
        <f aca="false">Assumptions!$E$56*Assumptions!$E$42*Assumptions!$E$58</f>
        <v>700</v>
      </c>
      <c r="J389" s="34" t="n">
        <f aca="false">Assumptions!$E$56*Assumptions!$E$42*Assumptions!$E$58</f>
        <v>700</v>
      </c>
      <c r="K389" s="34" t="n">
        <f aca="false">Assumptions!$E$56*Assumptions!$E$42*Assumptions!$E$58</f>
        <v>700</v>
      </c>
      <c r="L389" s="57" t="n">
        <f aca="false">K389</f>
        <v>700</v>
      </c>
    </row>
    <row r="390" customFormat="false" ht="15" hidden="false" customHeight="false" outlineLevel="0" collapsed="false">
      <c r="A390" s="41" t="n">
        <v>178</v>
      </c>
      <c r="B390" s="21" t="s">
        <v>382</v>
      </c>
      <c r="C390" s="11" t="s">
        <v>47</v>
      </c>
      <c r="D390" s="34" t="n">
        <f aca="false">Assumptions!$E$25/Assumptions!$E$15+Assumptions!$E$29</f>
        <v>178.6</v>
      </c>
      <c r="E390" s="34" t="n">
        <f aca="false">Assumptions!$E$25/Assumptions!$E$15+Assumptions!$E$29</f>
        <v>178.6</v>
      </c>
      <c r="F390" s="34" t="n">
        <f aca="false">Assumptions!$E$25/Assumptions!$E$15+Assumptions!$E$29</f>
        <v>178.6</v>
      </c>
      <c r="G390" s="34" t="n">
        <f aca="false">Assumptions!$E$25/Assumptions!$E$15+Assumptions!$E$29</f>
        <v>178.6</v>
      </c>
      <c r="H390" s="34" t="n">
        <f aca="false">Assumptions!$E$25/Assumptions!$E$15+Assumptions!$E$29</f>
        <v>178.6</v>
      </c>
      <c r="I390" s="34" t="n">
        <f aca="false">Assumptions!$E$25/Assumptions!$E$15+Assumptions!$E$29</f>
        <v>178.6</v>
      </c>
      <c r="J390" s="34" t="n">
        <f aca="false">Assumptions!$E$25/Assumptions!$E$15+Assumptions!$E$29</f>
        <v>178.6</v>
      </c>
      <c r="K390" s="34" t="n">
        <f aca="false">Assumptions!$E$25/Assumptions!$E$15+Assumptions!$E$29</f>
        <v>178.6</v>
      </c>
      <c r="L390" s="57" t="n">
        <f aca="false">K390</f>
        <v>178.6</v>
      </c>
    </row>
    <row r="391" customFormat="false" ht="15" hidden="false" customHeight="false" outlineLevel="0" collapsed="false">
      <c r="A391" s="41" t="n">
        <v>179</v>
      </c>
      <c r="B391" s="17" t="s">
        <v>383</v>
      </c>
      <c r="C391" s="11" t="s">
        <v>47</v>
      </c>
      <c r="D391" s="55" t="n">
        <f aca="false">D388+D389-D390</f>
        <v>2271.4</v>
      </c>
      <c r="E391" s="55" t="n">
        <f aca="false">E388+E389-E390</f>
        <v>2271.4</v>
      </c>
      <c r="F391" s="55" t="n">
        <f aca="false">F388+F389-F390</f>
        <v>2271.4</v>
      </c>
      <c r="G391" s="55" t="n">
        <f aca="false">G388+G389-G390</f>
        <v>2271.4</v>
      </c>
      <c r="H391" s="55" t="n">
        <f aca="false">H388+H389-H390</f>
        <v>2271.4</v>
      </c>
      <c r="I391" s="55" t="n">
        <f aca="false">I388+I389-I390</f>
        <v>2271.4</v>
      </c>
      <c r="J391" s="55" t="n">
        <f aca="false">J388+J389-J390</f>
        <v>2271.4</v>
      </c>
      <c r="K391" s="55" t="n">
        <f aca="false">K388+K389-K390</f>
        <v>2271.4</v>
      </c>
      <c r="L391" s="62" t="n">
        <f aca="false">K391</f>
        <v>2271.4</v>
      </c>
    </row>
    <row r="392" customFormat="false" ht="15" hidden="false" customHeight="false" outlineLevel="0" collapsed="false">
      <c r="A392" s="41" t="n">
        <v>180</v>
      </c>
      <c r="B392" s="21" t="s">
        <v>384</v>
      </c>
      <c r="C392" s="11" t="s">
        <v>385</v>
      </c>
      <c r="D392" s="53" t="n">
        <f aca="false">IF(D390&gt;0,(D388+D389)/D390,0)</f>
        <v>13.7178051511758</v>
      </c>
      <c r="E392" s="53" t="n">
        <f aca="false">IF(E390&gt;0,(E388+E389)/E390,0)</f>
        <v>13.7178051511758</v>
      </c>
      <c r="F392" s="53" t="n">
        <f aca="false">IF(F390&gt;0,(F388+F389)/F390,0)</f>
        <v>13.7178051511758</v>
      </c>
      <c r="G392" s="53" t="n">
        <f aca="false">IF(G390&gt;0,(G388+G389)/G390,0)</f>
        <v>13.7178051511758</v>
      </c>
      <c r="H392" s="53" t="n">
        <f aca="false">IF(H390&gt;0,(H388+H389)/H390,0)</f>
        <v>13.7178051511758</v>
      </c>
      <c r="I392" s="53" t="n">
        <f aca="false">IF(I390&gt;0,(I388+I389)/I390,0)</f>
        <v>13.7178051511758</v>
      </c>
      <c r="J392" s="53" t="n">
        <f aca="false">IF(J390&gt;0,(J388+J389)/J390,0)</f>
        <v>13.7178051511758</v>
      </c>
      <c r="K392" s="53" t="n">
        <f aca="false">IF(K390&gt;0,(K388+K389)/K390,0)</f>
        <v>13.7178051511758</v>
      </c>
      <c r="L392" s="63" t="n">
        <f aca="false">K392</f>
        <v>13.7178051511758</v>
      </c>
    </row>
    <row r="393" customFormat="false" ht="15" hidden="false" customHeight="false" outlineLevel="0" collapsed="false">
      <c r="A393" s="39"/>
      <c r="B393" s="40" t="s">
        <v>386</v>
      </c>
      <c r="C393" s="39"/>
      <c r="D393" s="39"/>
      <c r="E393" s="39"/>
      <c r="F393" s="39"/>
      <c r="G393" s="39"/>
      <c r="H393" s="39"/>
      <c r="I393" s="39"/>
      <c r="J393" s="39"/>
      <c r="K393" s="39"/>
      <c r="L393" s="39"/>
    </row>
    <row r="394" customFormat="false" ht="15" hidden="false" customHeight="false" outlineLevel="0" collapsed="false">
      <c r="A394" s="41" t="n">
        <v>181</v>
      </c>
      <c r="B394" s="21" t="s">
        <v>381</v>
      </c>
      <c r="C394" s="11" t="s">
        <v>47</v>
      </c>
      <c r="D394" s="34" t="n">
        <f aca="false">Assumptions!$E$57*Assumptions!$E$42*Assumptions!$E$58</f>
        <v>400</v>
      </c>
      <c r="E394" s="34" t="n">
        <f aca="false">Assumptions!$E$57*Assumptions!$E$42*Assumptions!$E$58</f>
        <v>400</v>
      </c>
      <c r="F394" s="34" t="n">
        <f aca="false">Assumptions!$E$57*Assumptions!$E$42*Assumptions!$E$58</f>
        <v>400</v>
      </c>
      <c r="G394" s="34" t="n">
        <f aca="false">Assumptions!$E$57*Assumptions!$E$42*Assumptions!$E$58</f>
        <v>400</v>
      </c>
      <c r="H394" s="34" t="n">
        <f aca="false">Assumptions!$E$57*Assumptions!$E$42*Assumptions!$E$58</f>
        <v>400</v>
      </c>
      <c r="I394" s="34" t="n">
        <f aca="false">Assumptions!$E$57*Assumptions!$E$42*Assumptions!$E$58</f>
        <v>400</v>
      </c>
      <c r="J394" s="34" t="n">
        <f aca="false">Assumptions!$E$57*Assumptions!$E$42*Assumptions!$E$58</f>
        <v>400</v>
      </c>
      <c r="K394" s="34" t="n">
        <f aca="false">Assumptions!$E$57*Assumptions!$E$42*Assumptions!$E$58</f>
        <v>400</v>
      </c>
      <c r="L394" s="57" t="n">
        <f aca="false">K394</f>
        <v>400</v>
      </c>
    </row>
    <row r="395" customFormat="false" ht="15" hidden="false" customHeight="false" outlineLevel="0" collapsed="false">
      <c r="A395" s="41" t="n">
        <v>182</v>
      </c>
      <c r="B395" s="21" t="s">
        <v>387</v>
      </c>
      <c r="C395" s="11" t="s">
        <v>47</v>
      </c>
      <c r="D395" s="34" t="n">
        <f aca="false">Assumptions!$E$25</f>
        <v>199</v>
      </c>
      <c r="E395" s="34" t="n">
        <f aca="false">Assumptions!$E$25</f>
        <v>199</v>
      </c>
      <c r="F395" s="34" t="n">
        <f aca="false">Assumptions!$E$25</f>
        <v>199</v>
      </c>
      <c r="G395" s="34" t="n">
        <f aca="false">Assumptions!$E$25</f>
        <v>199</v>
      </c>
      <c r="H395" s="34" t="n">
        <f aca="false">Assumptions!$E$25</f>
        <v>199</v>
      </c>
      <c r="I395" s="34" t="n">
        <f aca="false">Assumptions!$E$25</f>
        <v>199</v>
      </c>
      <c r="J395" s="34" t="n">
        <f aca="false">Assumptions!$E$25</f>
        <v>199</v>
      </c>
      <c r="K395" s="34" t="n">
        <f aca="false">Assumptions!$E$25</f>
        <v>199</v>
      </c>
      <c r="L395" s="57" t="n">
        <f aca="false">K395</f>
        <v>199</v>
      </c>
    </row>
    <row r="396" customFormat="false" ht="15" hidden="false" customHeight="false" outlineLevel="0" collapsed="false">
      <c r="A396" s="41" t="n">
        <v>183</v>
      </c>
      <c r="B396" s="21" t="s">
        <v>388</v>
      </c>
      <c r="C396" s="11" t="s">
        <v>47</v>
      </c>
      <c r="D396" s="34" t="n">
        <f aca="false">D394-D395</f>
        <v>201</v>
      </c>
      <c r="E396" s="34" t="n">
        <f aca="false">E394-E395</f>
        <v>201</v>
      </c>
      <c r="F396" s="34" t="n">
        <f aca="false">F394-F395</f>
        <v>201</v>
      </c>
      <c r="G396" s="34" t="n">
        <f aca="false">G394-G395</f>
        <v>201</v>
      </c>
      <c r="H396" s="34" t="n">
        <f aca="false">H394-H395</f>
        <v>201</v>
      </c>
      <c r="I396" s="34" t="n">
        <f aca="false">I394-I395</f>
        <v>201</v>
      </c>
      <c r="J396" s="34" t="n">
        <f aca="false">J394-J395</f>
        <v>201</v>
      </c>
      <c r="K396" s="34" t="n">
        <f aca="false">K394-K395</f>
        <v>201</v>
      </c>
      <c r="L396" s="57" t="n">
        <f aca="false">K396</f>
        <v>201</v>
      </c>
    </row>
    <row r="400" customFormat="false" ht="15" hidden="false" customHeight="false" outlineLevel="0" collapsed="false">
      <c r="A400" s="37" t="s">
        <v>390</v>
      </c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</row>
    <row r="401" customFormat="false" ht="15" hidden="false" customHeight="false" outlineLevel="0" collapsed="false">
      <c r="A401" s="39"/>
      <c r="B401" s="40" t="s">
        <v>314</v>
      </c>
      <c r="C401" s="39"/>
      <c r="D401" s="39"/>
      <c r="E401" s="39"/>
      <c r="F401" s="39"/>
      <c r="G401" s="39"/>
      <c r="H401" s="39"/>
      <c r="I401" s="39"/>
      <c r="J401" s="39"/>
      <c r="K401" s="39"/>
      <c r="L401" s="39"/>
    </row>
    <row r="402" customFormat="false" ht="15" hidden="false" customHeight="false" outlineLevel="0" collapsed="false">
      <c r="A402" s="41" t="n">
        <v>1</v>
      </c>
      <c r="B402" s="21" t="s">
        <v>315</v>
      </c>
      <c r="C402" s="11" t="s">
        <v>316</v>
      </c>
      <c r="D402" s="42" t="n">
        <f aca="false">Baseline!H15*100</f>
        <v>176.714285714286</v>
      </c>
      <c r="E402" s="42" t="n">
        <f aca="false">Baseline!H16*100</f>
        <v>183.285714285714</v>
      </c>
      <c r="F402" s="42" t="n">
        <f aca="false">Baseline!H17*100</f>
        <v>189.857142857143</v>
      </c>
      <c r="G402" s="42" t="n">
        <f aca="false">Baseline!H18*100</f>
        <v>196.428571428571</v>
      </c>
      <c r="H402" s="42" t="n">
        <f aca="false">Baseline!H19*100</f>
        <v>203</v>
      </c>
      <c r="I402" s="42" t="n">
        <f aca="false">Baseline!H20*100</f>
        <v>209.571428571429</v>
      </c>
      <c r="J402" s="42" t="n">
        <f aca="false">Baseline!H21*100</f>
        <v>216.142857142857</v>
      </c>
      <c r="K402" s="42" t="n">
        <f aca="false">Baseline!H22*100</f>
        <v>222.714285714286</v>
      </c>
      <c r="L402" s="43" t="n">
        <f aca="false">K402</f>
        <v>222.714285714286</v>
      </c>
    </row>
    <row r="403" customFormat="false" ht="15" hidden="false" customHeight="false" outlineLevel="0" collapsed="false">
      <c r="A403" s="41" t="n">
        <v>2</v>
      </c>
      <c r="B403" s="21" t="s">
        <v>317</v>
      </c>
      <c r="C403" s="11" t="s">
        <v>207</v>
      </c>
      <c r="D403" s="44" t="n">
        <f aca="false">Assumptions!D$63</f>
        <v>0.05</v>
      </c>
      <c r="E403" s="44" t="n">
        <f aca="false">Assumptions!E$63</f>
        <v>0.15</v>
      </c>
      <c r="F403" s="44" t="n">
        <f aca="false">Assumptions!F$63</f>
        <v>0.3</v>
      </c>
      <c r="G403" s="44" t="n">
        <f aca="false">Assumptions!G$63</f>
        <v>0.45</v>
      </c>
      <c r="H403" s="44" t="n">
        <f aca="false">Assumptions!H$63</f>
        <v>0.6</v>
      </c>
      <c r="I403" s="44" t="n">
        <f aca="false">Assumptions!I$63</f>
        <v>0.7</v>
      </c>
      <c r="J403" s="44" t="n">
        <f aca="false">Assumptions!J$63</f>
        <v>0.8</v>
      </c>
      <c r="K403" s="44" t="n">
        <f aca="false">Assumptions!K$63</f>
        <v>0.85</v>
      </c>
      <c r="L403" s="45" t="n">
        <f aca="false">K403</f>
        <v>0.85</v>
      </c>
    </row>
    <row r="404" customFormat="false" ht="15" hidden="false" customHeight="false" outlineLevel="0" collapsed="false">
      <c r="A404" s="46"/>
      <c r="B404" s="47" t="s">
        <v>318</v>
      </c>
      <c r="C404" s="46"/>
      <c r="D404" s="46"/>
      <c r="E404" s="46"/>
      <c r="F404" s="46"/>
      <c r="G404" s="46"/>
      <c r="H404" s="46"/>
      <c r="I404" s="46"/>
      <c r="J404" s="46"/>
      <c r="K404" s="46"/>
      <c r="L404" s="46"/>
    </row>
    <row r="405" customFormat="false" ht="15" hidden="false" customHeight="false" outlineLevel="0" collapsed="false">
      <c r="A405" s="41" t="n">
        <v>3</v>
      </c>
      <c r="B405" s="21" t="s">
        <v>319</v>
      </c>
      <c r="C405" s="11" t="s">
        <v>316</v>
      </c>
      <c r="D405" s="48" t="n">
        <f aca="false">D402*Assumptions!$F$11</f>
        <v>132.535714285714</v>
      </c>
      <c r="E405" s="48" t="n">
        <f aca="false">E402*Assumptions!$F$11</f>
        <v>137.464285714286</v>
      </c>
      <c r="F405" s="48" t="n">
        <f aca="false">F402*Assumptions!$F$11</f>
        <v>142.392857142857</v>
      </c>
      <c r="G405" s="48" t="n">
        <f aca="false">G402*Assumptions!$F$11</f>
        <v>147.321428571429</v>
      </c>
      <c r="H405" s="48" t="n">
        <f aca="false">H402*Assumptions!$F$11</f>
        <v>152.25</v>
      </c>
      <c r="I405" s="48" t="n">
        <f aca="false">I402*Assumptions!$F$11</f>
        <v>157.178571428571</v>
      </c>
      <c r="J405" s="48" t="n">
        <f aca="false">J402*Assumptions!$F$11</f>
        <v>162.107142857143</v>
      </c>
      <c r="K405" s="48" t="n">
        <f aca="false">K402*Assumptions!$F$11</f>
        <v>167.035714285714</v>
      </c>
      <c r="L405" s="49" t="n">
        <f aca="false">K405</f>
        <v>167.035714285714</v>
      </c>
    </row>
    <row r="406" customFormat="false" ht="15" hidden="false" customHeight="false" outlineLevel="0" collapsed="false">
      <c r="A406" s="41" t="n">
        <v>4</v>
      </c>
      <c r="B406" s="21" t="s">
        <v>320</v>
      </c>
      <c r="C406" s="11" t="s">
        <v>316</v>
      </c>
      <c r="D406" s="50" t="n">
        <f aca="false">D405*D403*Assumptions!$F$19</f>
        <v>0.132535714285714</v>
      </c>
      <c r="E406" s="50" t="n">
        <f aca="false">E405*E403*Assumptions!$F$19</f>
        <v>0.412392857142857</v>
      </c>
      <c r="F406" s="50" t="n">
        <f aca="false">F405*F403*Assumptions!$F$19</f>
        <v>0.854357142857143</v>
      </c>
      <c r="G406" s="50" t="n">
        <f aca="false">G405*G403*Assumptions!$F$19</f>
        <v>1.32589285714286</v>
      </c>
      <c r="H406" s="50" t="n">
        <f aca="false">H405*H403*Assumptions!$F$19</f>
        <v>1.827</v>
      </c>
      <c r="I406" s="50" t="n">
        <f aca="false">I405*I403*Assumptions!$F$19</f>
        <v>2.2005</v>
      </c>
      <c r="J406" s="50" t="n">
        <f aca="false">J405*J403*Assumptions!$F$19</f>
        <v>2.59371428571429</v>
      </c>
      <c r="K406" s="50" t="n">
        <f aca="false">K405*K403*Assumptions!$F$19</f>
        <v>2.83960714285714</v>
      </c>
      <c r="L406" s="51" t="n">
        <f aca="false">K406</f>
        <v>2.83960714285714</v>
      </c>
    </row>
    <row r="407" customFormat="false" ht="15" hidden="false" customHeight="false" outlineLevel="0" collapsed="false">
      <c r="A407" s="41" t="n">
        <v>5</v>
      </c>
      <c r="B407" s="21" t="s">
        <v>321</v>
      </c>
      <c r="C407" s="11" t="s">
        <v>316</v>
      </c>
      <c r="D407" s="50" t="n">
        <f aca="false">MAX(0,D406-N(C406))</f>
        <v>0.132535714285714</v>
      </c>
      <c r="E407" s="50" t="n">
        <f aca="false">MAX(0,E406-N(D406))</f>
        <v>0.279857142857143</v>
      </c>
      <c r="F407" s="50" t="n">
        <f aca="false">MAX(0,F406-N(E406))</f>
        <v>0.441964285714286</v>
      </c>
      <c r="G407" s="50" t="n">
        <f aca="false">MAX(0,G406-N(F406))</f>
        <v>0.471535714285714</v>
      </c>
      <c r="H407" s="50" t="n">
        <f aca="false">MAX(0,H406-N(G406))</f>
        <v>0.501107142857143</v>
      </c>
      <c r="I407" s="50" t="n">
        <f aca="false">MAX(0,I406-N(H406))</f>
        <v>0.3735</v>
      </c>
      <c r="J407" s="50" t="n">
        <f aca="false">MAX(0,J406-N(I406))</f>
        <v>0.393214285714286</v>
      </c>
      <c r="K407" s="50" t="n">
        <f aca="false">MAX(0,K406-N(J406))</f>
        <v>0.245892857142857</v>
      </c>
      <c r="L407" s="52" t="n">
        <f aca="false">SUM(D407:K407)</f>
        <v>2.83960714285714</v>
      </c>
    </row>
    <row r="408" customFormat="false" ht="15" hidden="false" customHeight="false" outlineLevel="0" collapsed="false">
      <c r="A408" s="41" t="n">
        <v>6</v>
      </c>
      <c r="B408" s="21" t="s">
        <v>322</v>
      </c>
      <c r="C408" s="11" t="s">
        <v>316</v>
      </c>
      <c r="D408" s="50" t="n">
        <f aca="false">D406*1</f>
        <v>0.132535714285714</v>
      </c>
      <c r="E408" s="50" t="n">
        <f aca="false">E406*1</f>
        <v>0.412392857142857</v>
      </c>
      <c r="F408" s="50" t="n">
        <f aca="false">F406*1</f>
        <v>0.854357142857143</v>
      </c>
      <c r="G408" s="50" t="n">
        <f aca="false">G406*1</f>
        <v>1.32589285714286</v>
      </c>
      <c r="H408" s="50" t="n">
        <f aca="false">H406*1</f>
        <v>1.827</v>
      </c>
      <c r="I408" s="50" t="n">
        <f aca="false">I406*1</f>
        <v>2.2005</v>
      </c>
      <c r="J408" s="50" t="n">
        <f aca="false">J406*1</f>
        <v>2.59371428571429</v>
      </c>
      <c r="K408" s="50" t="n">
        <f aca="false">K406*1</f>
        <v>2.83960714285714</v>
      </c>
      <c r="L408" s="51" t="n">
        <f aca="false">K408</f>
        <v>2.83960714285714</v>
      </c>
    </row>
    <row r="409" customFormat="false" ht="15" hidden="false" customHeight="false" outlineLevel="0" collapsed="false">
      <c r="A409" s="41" t="n">
        <v>7</v>
      </c>
      <c r="B409" s="21" t="s">
        <v>323</v>
      </c>
      <c r="C409" s="11" t="s">
        <v>316</v>
      </c>
      <c r="D409" s="50" t="n">
        <f aca="false">N(C409)+D406*Assumptions!$F$23/100/4</f>
        <v>0.00132535714285714</v>
      </c>
      <c r="E409" s="50" t="n">
        <f aca="false">N(D409)+E406*Assumptions!$F$23/100/4</f>
        <v>0.00544928571428572</v>
      </c>
      <c r="F409" s="50" t="n">
        <f aca="false">N(E409)+F406*Assumptions!$F$23/100/4</f>
        <v>0.0139928571428571</v>
      </c>
      <c r="G409" s="50" t="n">
        <f aca="false">N(F409)+G406*Assumptions!$F$23/100/4</f>
        <v>0.0272517857142857</v>
      </c>
      <c r="H409" s="50" t="n">
        <f aca="false">N(G409)+H406*Assumptions!$F$23/100/4</f>
        <v>0.0455217857142857</v>
      </c>
      <c r="I409" s="50" t="n">
        <f aca="false">N(H409)+I406*Assumptions!$F$23/100/4</f>
        <v>0.0675267857142857</v>
      </c>
      <c r="J409" s="50" t="n">
        <f aca="false">N(I409)+J406*Assumptions!$F$23/100/4</f>
        <v>0.0934639285714286</v>
      </c>
      <c r="K409" s="50" t="n">
        <f aca="false">N(J409)+K406*Assumptions!$F$23/100/4</f>
        <v>0.12186</v>
      </c>
      <c r="L409" s="51" t="n">
        <f aca="false">K409</f>
        <v>0.12186</v>
      </c>
    </row>
    <row r="410" customFormat="false" ht="15" hidden="false" customHeight="false" outlineLevel="0" collapsed="false">
      <c r="A410" s="41" t="n">
        <v>8</v>
      </c>
      <c r="B410" s="21" t="s">
        <v>324</v>
      </c>
      <c r="C410" s="11" t="s">
        <v>316</v>
      </c>
      <c r="D410" s="50" t="n">
        <f aca="false">D408+D409</f>
        <v>0.133861071428571</v>
      </c>
      <c r="E410" s="50" t="n">
        <f aca="false">E408+E409</f>
        <v>0.417842142857143</v>
      </c>
      <c r="F410" s="50" t="n">
        <f aca="false">F408+F409</f>
        <v>0.86835</v>
      </c>
      <c r="G410" s="50" t="n">
        <f aca="false">G408+G409</f>
        <v>1.35314464285714</v>
      </c>
      <c r="H410" s="50" t="n">
        <f aca="false">H408+H409</f>
        <v>1.87252178571429</v>
      </c>
      <c r="I410" s="50" t="n">
        <f aca="false">I408+I409</f>
        <v>2.26802678571429</v>
      </c>
      <c r="J410" s="50" t="n">
        <f aca="false">J408+J409</f>
        <v>2.68717821428571</v>
      </c>
      <c r="K410" s="50" t="n">
        <f aca="false">K408+K409</f>
        <v>2.96146714285714</v>
      </c>
      <c r="L410" s="51" t="n">
        <f aca="false">K410</f>
        <v>2.96146714285714</v>
      </c>
    </row>
    <row r="411" customFormat="false" ht="15" hidden="false" customHeight="false" outlineLevel="0" collapsed="false">
      <c r="A411" s="41" t="n">
        <v>9</v>
      </c>
      <c r="B411" s="21" t="s">
        <v>325</v>
      </c>
      <c r="C411" s="11" t="s">
        <v>316</v>
      </c>
      <c r="D411" s="50" t="n">
        <f aca="false">D410*Assumptions!$F$30</f>
        <v>0.0267722142857143</v>
      </c>
      <c r="E411" s="50" t="n">
        <f aca="false">E410*Assumptions!$F$30</f>
        <v>0.0835684285714286</v>
      </c>
      <c r="F411" s="50" t="n">
        <f aca="false">F410*Assumptions!$F$30</f>
        <v>0.17367</v>
      </c>
      <c r="G411" s="50" t="n">
        <f aca="false">G410*Assumptions!$F$30</f>
        <v>0.270628928571429</v>
      </c>
      <c r="H411" s="50" t="n">
        <f aca="false">H410*Assumptions!$F$30</f>
        <v>0.374504357142857</v>
      </c>
      <c r="I411" s="50" t="n">
        <f aca="false">I410*Assumptions!$F$30</f>
        <v>0.453605357142857</v>
      </c>
      <c r="J411" s="50" t="n">
        <f aca="false">J410*Assumptions!$F$30</f>
        <v>0.537435642857143</v>
      </c>
      <c r="K411" s="50" t="n">
        <f aca="false">K410*Assumptions!$F$30</f>
        <v>0.592293428571429</v>
      </c>
      <c r="L411" s="51" t="n">
        <f aca="false">K411</f>
        <v>0.592293428571429</v>
      </c>
    </row>
    <row r="412" customFormat="false" ht="15" hidden="false" customHeight="false" outlineLevel="0" collapsed="false">
      <c r="A412" s="41" t="n">
        <v>10</v>
      </c>
      <c r="B412" s="21" t="s">
        <v>326</v>
      </c>
      <c r="C412" s="11" t="s">
        <v>316</v>
      </c>
      <c r="D412" s="50" t="n">
        <f aca="false">D406*Assumptions!$F$35</f>
        <v>0.0795214285714286</v>
      </c>
      <c r="E412" s="50" t="n">
        <f aca="false">E406*Assumptions!$F$35</f>
        <v>0.247435714285714</v>
      </c>
      <c r="F412" s="50" t="n">
        <f aca="false">F406*Assumptions!$F$35</f>
        <v>0.512614285714286</v>
      </c>
      <c r="G412" s="50" t="n">
        <f aca="false">G406*Assumptions!$F$35</f>
        <v>0.795535714285714</v>
      </c>
      <c r="H412" s="50" t="n">
        <f aca="false">H406*Assumptions!$F$35</f>
        <v>1.0962</v>
      </c>
      <c r="I412" s="50" t="n">
        <f aca="false">I406*Assumptions!$F$35</f>
        <v>1.3203</v>
      </c>
      <c r="J412" s="50" t="n">
        <f aca="false">J406*Assumptions!$F$35</f>
        <v>1.55622857142857</v>
      </c>
      <c r="K412" s="50" t="n">
        <f aca="false">K406*Assumptions!$F$35</f>
        <v>1.70376428571429</v>
      </c>
      <c r="L412" s="51" t="n">
        <f aca="false">K412</f>
        <v>1.70376428571429</v>
      </c>
    </row>
    <row r="413" customFormat="false" ht="15" hidden="false" customHeight="false" outlineLevel="0" collapsed="false">
      <c r="A413" s="41" t="n">
        <v>11</v>
      </c>
      <c r="B413" s="21" t="s">
        <v>327</v>
      </c>
      <c r="C413" s="11" t="s">
        <v>316</v>
      </c>
      <c r="D413" s="50" t="n">
        <f aca="false">D412*Assumptions!$F$36/4</f>
        <v>0.0596410714285714</v>
      </c>
      <c r="E413" s="50" t="n">
        <f aca="false">E412*Assumptions!$F$36/4</f>
        <v>0.185576785714286</v>
      </c>
      <c r="F413" s="50" t="n">
        <f aca="false">F412*Assumptions!$F$36/4</f>
        <v>0.384460714285714</v>
      </c>
      <c r="G413" s="50" t="n">
        <f aca="false">G412*Assumptions!$F$36/4</f>
        <v>0.596651785714286</v>
      </c>
      <c r="H413" s="50" t="n">
        <f aca="false">H412*Assumptions!$F$36/4</f>
        <v>0.82215</v>
      </c>
      <c r="I413" s="50" t="n">
        <f aca="false">I412*Assumptions!$F$36/4</f>
        <v>0.990225</v>
      </c>
      <c r="J413" s="50" t="n">
        <f aca="false">J412*Assumptions!$F$36/4</f>
        <v>1.16717142857143</v>
      </c>
      <c r="K413" s="50" t="n">
        <f aca="false">K412*Assumptions!$F$36/4</f>
        <v>1.27782321428571</v>
      </c>
      <c r="L413" s="52" t="n">
        <f aca="false">SUM(D413:K413)</f>
        <v>5.4837</v>
      </c>
    </row>
    <row r="414" customFormat="false" ht="15" hidden="false" customHeight="false" outlineLevel="0" collapsed="false">
      <c r="A414" s="41" t="n">
        <v>12</v>
      </c>
      <c r="B414" s="21" t="s">
        <v>328</v>
      </c>
      <c r="C414" s="11" t="s">
        <v>275</v>
      </c>
      <c r="D414" s="53" t="n">
        <f aca="false">D413*Assumptions!$F$37*1/100</f>
        <v>71.5692857142857</v>
      </c>
      <c r="E414" s="53" t="n">
        <f aca="false">E413*Assumptions!$F$37*1/100</f>
        <v>222.692142857143</v>
      </c>
      <c r="F414" s="53" t="n">
        <f aca="false">F413*Assumptions!$F$37*1/100</f>
        <v>461.352857142857</v>
      </c>
      <c r="G414" s="53" t="n">
        <f aca="false">G413*Assumptions!$F$37*1/100</f>
        <v>715.982142857143</v>
      </c>
      <c r="H414" s="53" t="n">
        <f aca="false">H413*Assumptions!$F$37*1/100</f>
        <v>986.58</v>
      </c>
      <c r="I414" s="53" t="n">
        <f aca="false">I413*Assumptions!$F$37*1/100</f>
        <v>1188.27</v>
      </c>
      <c r="J414" s="53" t="n">
        <f aca="false">J413*Assumptions!$F$37*1/100</f>
        <v>1400.60571428571</v>
      </c>
      <c r="K414" s="53" t="n">
        <f aca="false">K413*Assumptions!$F$37*1/100</f>
        <v>1533.38785714286</v>
      </c>
      <c r="L414" s="54" t="n">
        <f aca="false">SUM(D414:K414)</f>
        <v>6580.44</v>
      </c>
    </row>
    <row r="415" customFormat="false" ht="15" hidden="false" customHeight="false" outlineLevel="0" collapsed="false">
      <c r="A415" s="41" t="n">
        <v>13</v>
      </c>
      <c r="B415" s="21" t="s">
        <v>329</v>
      </c>
      <c r="C415" s="11" t="s">
        <v>275</v>
      </c>
      <c r="D415" s="34" t="n">
        <f aca="false">D408*Assumptions!$F$8*3/100</f>
        <v>238.564285714286</v>
      </c>
      <c r="E415" s="34" t="n">
        <f aca="false">E408*Assumptions!$F$8*3/100</f>
        <v>742.307142857143</v>
      </c>
      <c r="F415" s="34" t="n">
        <f aca="false">F408*Assumptions!$F$8*3/100</f>
        <v>1537.84285714286</v>
      </c>
      <c r="G415" s="34" t="n">
        <f aca="false">G408*Assumptions!$F$8*3/100</f>
        <v>2386.60714285714</v>
      </c>
      <c r="H415" s="34" t="n">
        <f aca="false">H408*Assumptions!$F$8*3/100</f>
        <v>3288.6</v>
      </c>
      <c r="I415" s="34" t="n">
        <f aca="false">I408*Assumptions!$F$8*3/100</f>
        <v>3960.9</v>
      </c>
      <c r="J415" s="34" t="n">
        <f aca="false">J408*Assumptions!$F$8*3/100</f>
        <v>4668.68571428572</v>
      </c>
      <c r="K415" s="34" t="n">
        <f aca="false">K408*Assumptions!$F$8*3/100</f>
        <v>5111.29285714286</v>
      </c>
      <c r="L415" s="55" t="n">
        <f aca="false">SUM(D415:K415)</f>
        <v>21934.8</v>
      </c>
    </row>
    <row r="416" customFormat="false" ht="15" hidden="false" customHeight="false" outlineLevel="0" collapsed="false">
      <c r="A416" s="41" t="n">
        <v>14</v>
      </c>
      <c r="B416" s="21" t="s">
        <v>330</v>
      </c>
      <c r="C416" s="11" t="s">
        <v>275</v>
      </c>
      <c r="D416" s="53" t="n">
        <f aca="false">D415*Assumptions!$F$42</f>
        <v>7.15692857142857</v>
      </c>
      <c r="E416" s="53" t="n">
        <f aca="false">E415*Assumptions!$F$42</f>
        <v>22.2692142857143</v>
      </c>
      <c r="F416" s="53" t="n">
        <f aca="false">F415*Assumptions!$F$42</f>
        <v>46.1352857142857</v>
      </c>
      <c r="G416" s="53" t="n">
        <f aca="false">G415*Assumptions!$F$42</f>
        <v>71.5982142857143</v>
      </c>
      <c r="H416" s="53" t="n">
        <f aca="false">H415*Assumptions!$F$42</f>
        <v>98.658</v>
      </c>
      <c r="I416" s="53" t="n">
        <f aca="false">I415*Assumptions!$F$42</f>
        <v>118.827</v>
      </c>
      <c r="J416" s="53" t="n">
        <f aca="false">J415*Assumptions!$F$42</f>
        <v>140.060571428571</v>
      </c>
      <c r="K416" s="53" t="n">
        <f aca="false">K415*Assumptions!$F$42</f>
        <v>153.338785714286</v>
      </c>
      <c r="L416" s="54" t="n">
        <f aca="false">SUM(D416:K416)</f>
        <v>658.044</v>
      </c>
    </row>
    <row r="417" customFormat="false" ht="15" hidden="false" customHeight="false" outlineLevel="0" collapsed="false">
      <c r="A417" s="41" t="n">
        <v>15</v>
      </c>
      <c r="B417" s="21" t="s">
        <v>331</v>
      </c>
      <c r="C417" s="11" t="s">
        <v>275</v>
      </c>
      <c r="D417" s="53" t="n">
        <f aca="false">D411*Assumptions!$F$8*3/100*Assumptions!$F$44</f>
        <v>0.963799714285714</v>
      </c>
      <c r="E417" s="53" t="n">
        <f aca="false">E411*Assumptions!$F$8*3/100*Assumptions!$F$44</f>
        <v>3.00846342857143</v>
      </c>
      <c r="F417" s="53" t="n">
        <f aca="false">F411*Assumptions!$F$8*3/100*Assumptions!$F$44</f>
        <v>6.25212</v>
      </c>
      <c r="G417" s="53" t="n">
        <f aca="false">G411*Assumptions!$F$8*3/100*Assumptions!$F$44</f>
        <v>9.74264142857143</v>
      </c>
      <c r="H417" s="53" t="n">
        <f aca="false">H411*Assumptions!$F$8*3/100*Assumptions!$F$44</f>
        <v>13.4821568571429</v>
      </c>
      <c r="I417" s="53" t="n">
        <f aca="false">I411*Assumptions!$F$8*3/100*Assumptions!$F$44</f>
        <v>16.3297928571429</v>
      </c>
      <c r="J417" s="53" t="n">
        <f aca="false">J411*Assumptions!$F$8*3/100*Assumptions!$F$44</f>
        <v>19.3476831428571</v>
      </c>
      <c r="K417" s="53" t="n">
        <f aca="false">K411*Assumptions!$F$8*3/100*Assumptions!$F$44</f>
        <v>21.3225634285714</v>
      </c>
      <c r="L417" s="54" t="n">
        <f aca="false">SUM(D417:K417)</f>
        <v>90.4492208571429</v>
      </c>
    </row>
    <row r="418" customFormat="false" ht="15" hidden="false" customHeight="false" outlineLevel="0" collapsed="false">
      <c r="A418" s="41" t="n">
        <v>16</v>
      </c>
      <c r="B418" s="21" t="s">
        <v>332</v>
      </c>
      <c r="C418" s="11" t="s">
        <v>316</v>
      </c>
      <c r="D418" s="50" t="n">
        <f aca="false">N(C418)+D410*Assumptions!$F$45/4</f>
        <v>0.00100395803571429</v>
      </c>
      <c r="E418" s="50" t="n">
        <f aca="false">N(D418)+E410*Assumptions!$F$45/4</f>
        <v>0.00413777410714286</v>
      </c>
      <c r="F418" s="50" t="n">
        <f aca="false">N(E418)+F410*Assumptions!$F$45/4</f>
        <v>0.0106503991071429</v>
      </c>
      <c r="G418" s="50" t="n">
        <f aca="false">N(F418)+G410*Assumptions!$F$45/4</f>
        <v>0.0207989839285714</v>
      </c>
      <c r="H418" s="50" t="n">
        <f aca="false">N(G418)+H410*Assumptions!$F$45/4</f>
        <v>0.0348428973214286</v>
      </c>
      <c r="I418" s="50" t="n">
        <f aca="false">N(H418)+I410*Assumptions!$F$45/4</f>
        <v>0.0518530982142857</v>
      </c>
      <c r="J418" s="50" t="n">
        <f aca="false">N(I418)+J410*Assumptions!$F$45/4</f>
        <v>0.0720069348214286</v>
      </c>
      <c r="K418" s="50" t="n">
        <f aca="false">N(J418)+K410*Assumptions!$F$45/4</f>
        <v>0.0942179383928571</v>
      </c>
      <c r="L418" s="51" t="n">
        <f aca="false">K418</f>
        <v>0.0942179383928571</v>
      </c>
    </row>
    <row r="419" customFormat="false" ht="15" hidden="false" customHeight="false" outlineLevel="0" collapsed="false">
      <c r="A419" s="41" t="n">
        <v>17</v>
      </c>
      <c r="B419" s="21" t="s">
        <v>333</v>
      </c>
      <c r="C419" s="11" t="s">
        <v>275</v>
      </c>
      <c r="D419" s="53" t="n">
        <f aca="false">D418*Assumptions!$F$8*3/100</f>
        <v>1.80712446428571</v>
      </c>
      <c r="E419" s="53" t="n">
        <f aca="false">E418*Assumptions!$F$8*3/100</f>
        <v>7.44799339285714</v>
      </c>
      <c r="F419" s="53" t="n">
        <f aca="false">F418*Assumptions!$F$8*3/100</f>
        <v>19.1707183928571</v>
      </c>
      <c r="G419" s="53" t="n">
        <f aca="false">G418*Assumptions!$F$8*3/100</f>
        <v>37.4381710714286</v>
      </c>
      <c r="H419" s="53" t="n">
        <f aca="false">H418*Assumptions!$F$8*3/100</f>
        <v>62.7172151785714</v>
      </c>
      <c r="I419" s="53" t="n">
        <f aca="false">I418*Assumptions!$F$8*3/100</f>
        <v>93.3355767857143</v>
      </c>
      <c r="J419" s="53" t="n">
        <f aca="false">J418*Assumptions!$F$8*3/100</f>
        <v>129.612482678571</v>
      </c>
      <c r="K419" s="53" t="n">
        <f aca="false">K418*Assumptions!$F$8*3/100</f>
        <v>169.592289107143</v>
      </c>
      <c r="L419" s="54" t="n">
        <f aca="false">SUM(D419:K419)</f>
        <v>521.121571071429</v>
      </c>
    </row>
    <row r="420" customFormat="false" ht="15" hidden="false" customHeight="false" outlineLevel="0" collapsed="false">
      <c r="A420" s="41" t="n">
        <v>18</v>
      </c>
      <c r="B420" s="21" t="s">
        <v>334</v>
      </c>
      <c r="C420" s="11" t="s">
        <v>275</v>
      </c>
      <c r="D420" s="53" t="n">
        <f aca="false">D409*Assumptions!$F$8*3/100</f>
        <v>2.38564285714286</v>
      </c>
      <c r="E420" s="53" t="n">
        <f aca="false">E409*Assumptions!$F$8*3/100</f>
        <v>9.80871428571429</v>
      </c>
      <c r="F420" s="53" t="n">
        <f aca="false">F409*Assumptions!$F$8*3/100</f>
        <v>25.1871428571429</v>
      </c>
      <c r="G420" s="53" t="n">
        <f aca="false">G409*Assumptions!$F$8*3/100</f>
        <v>49.0532142857143</v>
      </c>
      <c r="H420" s="53" t="n">
        <f aca="false">H409*Assumptions!$F$8*3/100</f>
        <v>81.9392142857143</v>
      </c>
      <c r="I420" s="53" t="n">
        <f aca="false">I409*Assumptions!$F$8*3/100</f>
        <v>121.548214285714</v>
      </c>
      <c r="J420" s="53" t="n">
        <f aca="false">J409*Assumptions!$F$8*3/100</f>
        <v>168.235071428571</v>
      </c>
      <c r="K420" s="53" t="n">
        <f aca="false">K409*Assumptions!$F$8*3/100</f>
        <v>219.348</v>
      </c>
      <c r="L420" s="54" t="n">
        <f aca="false">SUM(D420:K420)</f>
        <v>677.505214285714</v>
      </c>
    </row>
    <row r="421" customFormat="false" ht="15" hidden="false" customHeight="false" outlineLevel="0" collapsed="false">
      <c r="A421" s="41" t="n">
        <v>19</v>
      </c>
      <c r="B421" s="21" t="s">
        <v>335</v>
      </c>
      <c r="C421" s="11" t="s">
        <v>275</v>
      </c>
      <c r="D421" s="53" t="n">
        <f aca="false">D416+D417+D419+D420</f>
        <v>12.3134956071429</v>
      </c>
      <c r="E421" s="53" t="n">
        <f aca="false">E416+E417+E419+E420</f>
        <v>42.5343853928571</v>
      </c>
      <c r="F421" s="53" t="n">
        <f aca="false">F416+F417+F419+F420</f>
        <v>96.7452669642857</v>
      </c>
      <c r="G421" s="53" t="n">
        <f aca="false">G416+G417+G419+G420</f>
        <v>167.832241071429</v>
      </c>
      <c r="H421" s="53" t="n">
        <f aca="false">H416+H417+H419+H420</f>
        <v>256.796586321429</v>
      </c>
      <c r="I421" s="53" t="n">
        <f aca="false">I416+I417+I419+I420</f>
        <v>350.040583928571</v>
      </c>
      <c r="J421" s="53" t="n">
        <f aca="false">J416+J417+J419+J420</f>
        <v>457.255808678571</v>
      </c>
      <c r="K421" s="53" t="n">
        <f aca="false">K416+K417+K419+K420</f>
        <v>563.60163825</v>
      </c>
      <c r="L421" s="54" t="n">
        <f aca="false">SUM(D421:K421)</f>
        <v>1947.12000621429</v>
      </c>
    </row>
    <row r="422" customFormat="false" ht="15" hidden="false" customHeight="false" outlineLevel="0" collapsed="false">
      <c r="A422" s="41" t="n">
        <v>20</v>
      </c>
      <c r="B422" s="21" t="s">
        <v>336</v>
      </c>
      <c r="C422" s="11" t="s">
        <v>275</v>
      </c>
      <c r="D422" s="24" t="n">
        <f aca="false">D406*Assumptions!$F$25*3/100</f>
        <v>1.18884535714286</v>
      </c>
      <c r="E422" s="24" t="n">
        <f aca="false">E406*Assumptions!$F$25*3/100</f>
        <v>3.69916392857143</v>
      </c>
      <c r="F422" s="24" t="n">
        <f aca="false">F406*Assumptions!$F$25*3/100</f>
        <v>7.66358357142857</v>
      </c>
      <c r="G422" s="24" t="n">
        <f aca="false">G406*Assumptions!$F$25*3/100</f>
        <v>11.8932589285714</v>
      </c>
      <c r="H422" s="24" t="n">
        <f aca="false">H406*Assumptions!$F$25*3/100</f>
        <v>16.38819</v>
      </c>
      <c r="I422" s="24" t="n">
        <f aca="false">I406*Assumptions!$F$25*3/100</f>
        <v>19.738485</v>
      </c>
      <c r="J422" s="24" t="n">
        <f aca="false">J406*Assumptions!$F$25*3/100</f>
        <v>23.2656171428571</v>
      </c>
      <c r="K422" s="24" t="n">
        <f aca="false">K406*Assumptions!$F$25*3/100</f>
        <v>25.4712760714286</v>
      </c>
      <c r="L422" s="56" t="n">
        <f aca="false">SUM(D422:K422)</f>
        <v>109.30842</v>
      </c>
    </row>
    <row r="423" customFormat="false" ht="15" hidden="false" customHeight="false" outlineLevel="0" collapsed="false">
      <c r="A423" s="41" t="n">
        <v>21</v>
      </c>
      <c r="B423" s="21" t="s">
        <v>337</v>
      </c>
      <c r="C423" s="11" t="s">
        <v>275</v>
      </c>
      <c r="D423" s="24" t="n">
        <f aca="false">D411*Assumptions!$F$29*3/100</f>
        <v>0.119671797857143</v>
      </c>
      <c r="E423" s="24" t="n">
        <f aca="false">E411*Assumptions!$F$29*3/100</f>
        <v>0.373550875714286</v>
      </c>
      <c r="F423" s="24" t="n">
        <f aca="false">F411*Assumptions!$F$29*3/100</f>
        <v>0.7763049</v>
      </c>
      <c r="G423" s="24" t="n">
        <f aca="false">G411*Assumptions!$F$29*3/100</f>
        <v>1.20971131071429</v>
      </c>
      <c r="H423" s="24" t="n">
        <f aca="false">H411*Assumptions!$F$29*3/100</f>
        <v>1.67403447642857</v>
      </c>
      <c r="I423" s="24" t="n">
        <f aca="false">I411*Assumptions!$F$29*3/100</f>
        <v>2.02761594642857</v>
      </c>
      <c r="J423" s="24" t="n">
        <f aca="false">J411*Assumptions!$F$29*3/100</f>
        <v>2.40233732357143</v>
      </c>
      <c r="K423" s="24" t="n">
        <f aca="false">K411*Assumptions!$F$29*3/100</f>
        <v>2.64755162571429</v>
      </c>
      <c r="L423" s="56" t="n">
        <f aca="false">SUM(D423:K423)</f>
        <v>11.2307782564286</v>
      </c>
    </row>
    <row r="424" customFormat="false" ht="15" hidden="false" customHeight="false" outlineLevel="0" collapsed="false">
      <c r="A424" s="41" t="n">
        <v>22</v>
      </c>
      <c r="B424" s="21" t="s">
        <v>338</v>
      </c>
      <c r="C424" s="11" t="s">
        <v>275</v>
      </c>
      <c r="D424" s="24" t="n">
        <f aca="false">D406*Assumptions!$F$33*Assumptions!$F$32*3/100</f>
        <v>0.177730392857143</v>
      </c>
      <c r="E424" s="24" t="n">
        <f aca="false">E406*Assumptions!$F$33*Assumptions!$F$32*3/100</f>
        <v>0.553018821428571</v>
      </c>
      <c r="F424" s="24" t="n">
        <f aca="false">F406*Assumptions!$F$33*Assumptions!$F$32*3/100</f>
        <v>1.14569292857143</v>
      </c>
      <c r="G424" s="24" t="n">
        <f aca="false">G406*Assumptions!$F$33*Assumptions!$F$32*3/100</f>
        <v>1.77802232142857</v>
      </c>
      <c r="H424" s="24" t="n">
        <f aca="false">H406*Assumptions!$F$33*Assumptions!$F$32*3/100</f>
        <v>2.450007</v>
      </c>
      <c r="I424" s="24" t="n">
        <f aca="false">I406*Assumptions!$F$33*Assumptions!$F$32*3/100</f>
        <v>2.9508705</v>
      </c>
      <c r="J424" s="24" t="n">
        <f aca="false">J406*Assumptions!$F$33*Assumptions!$F$32*3/100</f>
        <v>3.47817085714286</v>
      </c>
      <c r="K424" s="24" t="n">
        <f aca="false">K406*Assumptions!$F$33*Assumptions!$F$32*3/100</f>
        <v>3.80791317857143</v>
      </c>
      <c r="L424" s="56" t="n">
        <f aca="false">SUM(D424:K424)</f>
        <v>16.341426</v>
      </c>
    </row>
    <row r="425" customFormat="false" ht="15" hidden="false" customHeight="false" outlineLevel="0" collapsed="false">
      <c r="A425" s="41" t="n">
        <v>23</v>
      </c>
      <c r="B425" s="21" t="s">
        <v>339</v>
      </c>
      <c r="C425" s="11" t="s">
        <v>275</v>
      </c>
      <c r="D425" s="24" t="n">
        <f aca="false">D414*Assumptions!$F$38</f>
        <v>1.78923214285714</v>
      </c>
      <c r="E425" s="24" t="n">
        <f aca="false">E414*Assumptions!$F$38</f>
        <v>5.56730357142857</v>
      </c>
      <c r="F425" s="24" t="n">
        <f aca="false">F414*Assumptions!$F$38</f>
        <v>11.5338214285714</v>
      </c>
      <c r="G425" s="24" t="n">
        <f aca="false">G414*Assumptions!$F$38</f>
        <v>17.8995535714286</v>
      </c>
      <c r="H425" s="24" t="n">
        <f aca="false">H414*Assumptions!$F$38</f>
        <v>24.6645</v>
      </c>
      <c r="I425" s="24" t="n">
        <f aca="false">I414*Assumptions!$F$38</f>
        <v>29.70675</v>
      </c>
      <c r="J425" s="24" t="n">
        <f aca="false">J414*Assumptions!$F$38</f>
        <v>35.0151428571429</v>
      </c>
      <c r="K425" s="24" t="n">
        <f aca="false">K414*Assumptions!$F$38</f>
        <v>38.3346964285714</v>
      </c>
      <c r="L425" s="56" t="n">
        <f aca="false">SUM(D425:K425)</f>
        <v>164.511</v>
      </c>
    </row>
    <row r="426" customFormat="false" ht="15" hidden="false" customHeight="false" outlineLevel="0" collapsed="false">
      <c r="A426" s="41" t="n">
        <v>24</v>
      </c>
      <c r="B426" s="21" t="s">
        <v>340</v>
      </c>
      <c r="C426" s="11" t="s">
        <v>275</v>
      </c>
      <c r="D426" s="24" t="n">
        <f aca="false">D421*Assumptions!$F$6</f>
        <v>0.00492539824285714</v>
      </c>
      <c r="E426" s="24" t="n">
        <f aca="false">E421*Assumptions!$F$6</f>
        <v>0.0170137541571429</v>
      </c>
      <c r="F426" s="24" t="n">
        <f aca="false">F421*Assumptions!$F$6</f>
        <v>0.0386981067857143</v>
      </c>
      <c r="G426" s="24" t="n">
        <f aca="false">G421*Assumptions!$F$6</f>
        <v>0.0671328964285714</v>
      </c>
      <c r="H426" s="24" t="n">
        <f aca="false">H421*Assumptions!$F$6</f>
        <v>0.102718634528571</v>
      </c>
      <c r="I426" s="24" t="n">
        <f aca="false">I421*Assumptions!$F$6</f>
        <v>0.140016233571429</v>
      </c>
      <c r="J426" s="24" t="n">
        <f aca="false">J421*Assumptions!$F$6</f>
        <v>0.182902323471429</v>
      </c>
      <c r="K426" s="24" t="n">
        <f aca="false">K421*Assumptions!$F$6</f>
        <v>0.2254406553</v>
      </c>
      <c r="L426" s="56" t="n">
        <f aca="false">SUM(D426:K426)</f>
        <v>0.778848002485714</v>
      </c>
    </row>
    <row r="427" customFormat="false" ht="15" hidden="false" customHeight="false" outlineLevel="0" collapsed="false">
      <c r="A427" s="41" t="n">
        <v>25</v>
      </c>
      <c r="B427" s="21" t="s">
        <v>341</v>
      </c>
      <c r="C427" s="11" t="s">
        <v>275</v>
      </c>
      <c r="D427" s="24" t="n">
        <f aca="false">(D418+D409)*Assumptions!$F$9*3/100</f>
        <v>0.00698794553571429</v>
      </c>
      <c r="E427" s="24" t="n">
        <f aca="false">(E418+E409)*Assumptions!$F$9*3/100</f>
        <v>0.0287611794642857</v>
      </c>
      <c r="F427" s="24" t="n">
        <f aca="false">(F418+F409)*Assumptions!$F$9*3/100</f>
        <v>0.07392976875</v>
      </c>
      <c r="G427" s="24" t="n">
        <f aca="false">(G418+G409)*Assumptions!$F$9*3/100</f>
        <v>0.144152308928571</v>
      </c>
      <c r="H427" s="24" t="n">
        <f aca="false">(H418+H409)*Assumptions!$F$9*3/100</f>
        <v>0.241094049107143</v>
      </c>
      <c r="I427" s="24" t="n">
        <f aca="false">(I418+I409)*Assumptions!$F$9*3/100</f>
        <v>0.358139651785714</v>
      </c>
      <c r="J427" s="24" t="n">
        <f aca="false">(J418+J409)*Assumptions!$F$9*3/100</f>
        <v>0.496412590178572</v>
      </c>
      <c r="K427" s="24" t="n">
        <f aca="false">(K418+K409)*Assumptions!$F$9*3/100</f>
        <v>0.648233815178572</v>
      </c>
      <c r="L427" s="56" t="n">
        <f aca="false">SUM(D427:K427)</f>
        <v>1.99771130892857</v>
      </c>
    </row>
    <row r="428" customFormat="false" ht="15" hidden="false" customHeight="false" outlineLevel="0" collapsed="false">
      <c r="A428" s="41" t="n">
        <v>26</v>
      </c>
      <c r="B428" s="21" t="s">
        <v>342</v>
      </c>
      <c r="C428" s="11" t="s">
        <v>275</v>
      </c>
      <c r="D428" s="24" t="n">
        <f aca="false">SUM(D422:D427)</f>
        <v>3.28739303449286</v>
      </c>
      <c r="E428" s="24" t="n">
        <f aca="false">SUM(E422:E427)</f>
        <v>10.2388121307643</v>
      </c>
      <c r="F428" s="24" t="n">
        <f aca="false">SUM(F422:F427)</f>
        <v>21.2320307041071</v>
      </c>
      <c r="G428" s="24" t="n">
        <f aca="false">SUM(G422:G427)</f>
        <v>32.9918313375</v>
      </c>
      <c r="H428" s="24" t="n">
        <f aca="false">SUM(H422:H427)</f>
        <v>45.5205441600643</v>
      </c>
      <c r="I428" s="24" t="n">
        <f aca="false">SUM(I422:I427)</f>
        <v>54.9218773317857</v>
      </c>
      <c r="J428" s="24" t="n">
        <f aca="false">SUM(J422:J427)</f>
        <v>64.8405830943643</v>
      </c>
      <c r="K428" s="24" t="n">
        <f aca="false">SUM(K422:K427)</f>
        <v>71.1351117747643</v>
      </c>
      <c r="L428" s="56" t="n">
        <f aca="false">SUM(D428:K428)</f>
        <v>304.168183567843</v>
      </c>
    </row>
    <row r="429" customFormat="false" ht="15" hidden="false" customHeight="false" outlineLevel="0" collapsed="false">
      <c r="A429" s="41" t="n">
        <v>27</v>
      </c>
      <c r="B429" s="21" t="s">
        <v>343</v>
      </c>
      <c r="C429" s="11" t="s">
        <v>275</v>
      </c>
      <c r="D429" s="24" t="n">
        <f aca="false">D410*Assumptions!$F$47*3/100</f>
        <v>0.0602374821428571</v>
      </c>
      <c r="E429" s="24" t="n">
        <f aca="false">E410*Assumptions!$F$47*3/100</f>
        <v>0.188028964285714</v>
      </c>
      <c r="F429" s="24" t="n">
        <f aca="false">F410*Assumptions!$F$47*3/100</f>
        <v>0.3907575</v>
      </c>
      <c r="G429" s="24" t="n">
        <f aca="false">G410*Assumptions!$F$47*3/100</f>
        <v>0.608915089285714</v>
      </c>
      <c r="H429" s="24" t="n">
        <f aca="false">H410*Assumptions!$F$47*3/100</f>
        <v>0.842634803571429</v>
      </c>
      <c r="I429" s="24" t="n">
        <f aca="false">I410*Assumptions!$F$47*3/100</f>
        <v>1.02061205357143</v>
      </c>
      <c r="J429" s="24" t="n">
        <f aca="false">J410*Assumptions!$F$47*3/100</f>
        <v>1.20923019642857</v>
      </c>
      <c r="K429" s="24" t="n">
        <f aca="false">K410*Assumptions!$F$47*3/100</f>
        <v>1.33266021428571</v>
      </c>
      <c r="L429" s="56" t="n">
        <f aca="false">SUM(D429:K429)</f>
        <v>5.65307630357143</v>
      </c>
    </row>
    <row r="430" customFormat="false" ht="15" hidden="false" customHeight="false" outlineLevel="0" collapsed="false">
      <c r="A430" s="41" t="n">
        <v>28</v>
      </c>
      <c r="B430" s="21" t="s">
        <v>344</v>
      </c>
      <c r="C430" s="11" t="s">
        <v>275</v>
      </c>
      <c r="D430" s="24" t="n">
        <f aca="false">D411*Assumptions!$F$48*90*Assumptions!$F$49/100</f>
        <v>0.0144569957142857</v>
      </c>
      <c r="E430" s="24" t="n">
        <f aca="false">E411*Assumptions!$F$48*90*Assumptions!$F$49/100</f>
        <v>0.0451269514285714</v>
      </c>
      <c r="F430" s="24" t="n">
        <f aca="false">F411*Assumptions!$F$48*90*Assumptions!$F$49/100</f>
        <v>0.0937818</v>
      </c>
      <c r="G430" s="24" t="n">
        <f aca="false">G411*Assumptions!$F$48*90*Assumptions!$F$49/100</f>
        <v>0.146139621428571</v>
      </c>
      <c r="H430" s="24" t="n">
        <f aca="false">H411*Assumptions!$F$48*90*Assumptions!$F$49/100</f>
        <v>0.202232352857143</v>
      </c>
      <c r="I430" s="24" t="n">
        <f aca="false">I411*Assumptions!$F$48*90*Assumptions!$F$49/100</f>
        <v>0.244946892857143</v>
      </c>
      <c r="J430" s="24" t="n">
        <f aca="false">J411*Assumptions!$F$48*90*Assumptions!$F$49/100</f>
        <v>0.290215247142857</v>
      </c>
      <c r="K430" s="24" t="n">
        <f aca="false">K411*Assumptions!$F$48*90*Assumptions!$F$49/100</f>
        <v>0.319838451428572</v>
      </c>
      <c r="L430" s="56" t="n">
        <f aca="false">SUM(D430:K430)</f>
        <v>1.35673831285714</v>
      </c>
    </row>
    <row r="431" customFormat="false" ht="15" hidden="false" customHeight="false" outlineLevel="0" collapsed="false">
      <c r="A431" s="41" t="n">
        <v>29</v>
      </c>
      <c r="B431" s="21" t="s">
        <v>345</v>
      </c>
      <c r="C431" s="11" t="s">
        <v>275</v>
      </c>
      <c r="D431" s="24" t="n">
        <f aca="false">D406*Assumptions!$F$50*3/100</f>
        <v>0.0397607142857143</v>
      </c>
      <c r="E431" s="24" t="n">
        <f aca="false">E406*Assumptions!$F$50*3/100</f>
        <v>0.123717857142857</v>
      </c>
      <c r="F431" s="24" t="n">
        <f aca="false">F406*Assumptions!$F$50*3/100</f>
        <v>0.256307142857143</v>
      </c>
      <c r="G431" s="24" t="n">
        <f aca="false">G406*Assumptions!$F$50*3/100</f>
        <v>0.397767857142857</v>
      </c>
      <c r="H431" s="24" t="n">
        <f aca="false">H406*Assumptions!$F$50*3/100</f>
        <v>0.5481</v>
      </c>
      <c r="I431" s="24" t="n">
        <f aca="false">I406*Assumptions!$F$50*3/100</f>
        <v>0.66015</v>
      </c>
      <c r="J431" s="24" t="n">
        <f aca="false">J406*Assumptions!$F$50*3/100</f>
        <v>0.778114285714286</v>
      </c>
      <c r="K431" s="24" t="n">
        <f aca="false">K406*Assumptions!$F$50*3/100</f>
        <v>0.851882142857143</v>
      </c>
      <c r="L431" s="56" t="n">
        <f aca="false">SUM(D431:K431)</f>
        <v>3.6558</v>
      </c>
    </row>
    <row r="432" customFormat="false" ht="15" hidden="false" customHeight="false" outlineLevel="0" collapsed="false">
      <c r="A432" s="41" t="n">
        <v>30</v>
      </c>
      <c r="B432" s="21" t="s">
        <v>346</v>
      </c>
      <c r="C432" s="11" t="s">
        <v>275</v>
      </c>
      <c r="D432" s="24" t="n">
        <f aca="false">D410*Assumptions!$F$51*3/100</f>
        <v>0.0321266571428571</v>
      </c>
      <c r="E432" s="24" t="n">
        <f aca="false">E410*Assumptions!$F$51*3/100</f>
        <v>0.100282114285714</v>
      </c>
      <c r="F432" s="24" t="n">
        <f aca="false">F410*Assumptions!$F$51*3/100</f>
        <v>0.208404</v>
      </c>
      <c r="G432" s="24" t="n">
        <f aca="false">G410*Assumptions!$F$51*3/100</f>
        <v>0.324754714285714</v>
      </c>
      <c r="H432" s="24" t="n">
        <f aca="false">H410*Assumptions!$F$51*3/100</f>
        <v>0.449405228571429</v>
      </c>
      <c r="I432" s="24" t="n">
        <f aca="false">I410*Assumptions!$F$51*3/100</f>
        <v>0.544326428571429</v>
      </c>
      <c r="J432" s="24" t="n">
        <f aca="false">J410*Assumptions!$F$51*3/100</f>
        <v>0.644922771428572</v>
      </c>
      <c r="K432" s="24" t="n">
        <f aca="false">K410*Assumptions!$F$51*3/100</f>
        <v>0.710752114285714</v>
      </c>
      <c r="L432" s="56" t="n">
        <f aca="false">SUM(D432:K432)</f>
        <v>3.01497402857143</v>
      </c>
    </row>
    <row r="433" customFormat="false" ht="15" hidden="false" customHeight="false" outlineLevel="0" collapsed="false">
      <c r="A433" s="41" t="n">
        <v>31</v>
      </c>
      <c r="B433" s="21" t="s">
        <v>347</v>
      </c>
      <c r="C433" s="11" t="s">
        <v>275</v>
      </c>
      <c r="D433" s="24" t="n">
        <f aca="false">D407*(Assumptions!$F$52+Assumptions!$F$53*1)/100</f>
        <v>0.265071428571429</v>
      </c>
      <c r="E433" s="24" t="n">
        <f aca="false">E407*(Assumptions!$F$52+Assumptions!$F$53*1)/100</f>
        <v>0.559714285714286</v>
      </c>
      <c r="F433" s="24" t="n">
        <f aca="false">F407*(Assumptions!$F$52+Assumptions!$F$53*1)/100</f>
        <v>0.883928571428571</v>
      </c>
      <c r="G433" s="24" t="n">
        <f aca="false">G407*(Assumptions!$F$52+Assumptions!$F$53*1)/100</f>
        <v>0.943071428571429</v>
      </c>
      <c r="H433" s="24" t="n">
        <f aca="false">H407*(Assumptions!$F$52+Assumptions!$F$53*1)/100</f>
        <v>1.00221428571429</v>
      </c>
      <c r="I433" s="24" t="n">
        <f aca="false">I407*(Assumptions!$F$52+Assumptions!$F$53*1)/100</f>
        <v>0.746999999999999</v>
      </c>
      <c r="J433" s="24" t="n">
        <f aca="false">J407*(Assumptions!$F$52+Assumptions!$F$53*1)/100</f>
        <v>0.786428571428572</v>
      </c>
      <c r="K433" s="24" t="n">
        <f aca="false">K407*(Assumptions!$F$52+Assumptions!$F$53*1)/100</f>
        <v>0.491785714285714</v>
      </c>
      <c r="L433" s="56" t="n">
        <f aca="false">SUM(D433:K433)</f>
        <v>5.67921428571429</v>
      </c>
    </row>
    <row r="434" customFormat="false" ht="15" hidden="false" customHeight="false" outlineLevel="0" collapsed="false">
      <c r="A434" s="41" t="n">
        <v>32</v>
      </c>
      <c r="B434" s="21" t="s">
        <v>348</v>
      </c>
      <c r="C434" s="11" t="s">
        <v>275</v>
      </c>
      <c r="D434" s="24" t="n">
        <f aca="false">D414*Assumptions!$F$39</f>
        <v>0.143138571428571</v>
      </c>
      <c r="E434" s="24" t="n">
        <f aca="false">E414*Assumptions!$F$39</f>
        <v>0.445384285714286</v>
      </c>
      <c r="F434" s="24" t="n">
        <f aca="false">F414*Assumptions!$F$39</f>
        <v>0.922705714285714</v>
      </c>
      <c r="G434" s="24" t="n">
        <f aca="false">G414*Assumptions!$F$39</f>
        <v>1.43196428571429</v>
      </c>
      <c r="H434" s="24" t="n">
        <f aca="false">H414*Assumptions!$F$39</f>
        <v>1.97316</v>
      </c>
      <c r="I434" s="24" t="n">
        <f aca="false">I414*Assumptions!$F$39</f>
        <v>2.37654</v>
      </c>
      <c r="J434" s="24" t="n">
        <f aca="false">J414*Assumptions!$F$39</f>
        <v>2.80121142857143</v>
      </c>
      <c r="K434" s="24" t="n">
        <f aca="false">K414*Assumptions!$F$39</f>
        <v>3.06677571428572</v>
      </c>
      <c r="L434" s="56" t="n">
        <f aca="false">SUM(D434:K434)</f>
        <v>13.16088</v>
      </c>
    </row>
    <row r="435" customFormat="false" ht="15" hidden="false" customHeight="false" outlineLevel="0" collapsed="false">
      <c r="A435" s="41" t="n">
        <v>33</v>
      </c>
      <c r="B435" s="21" t="s">
        <v>349</v>
      </c>
      <c r="C435" s="11" t="s">
        <v>275</v>
      </c>
      <c r="D435" s="24" t="n">
        <f aca="false">D414*Assumptions!$F$40</f>
        <v>0</v>
      </c>
      <c r="E435" s="24" t="n">
        <f aca="false">E414*Assumptions!$F$40</f>
        <v>0</v>
      </c>
      <c r="F435" s="24" t="n">
        <f aca="false">F414*Assumptions!$F$40</f>
        <v>0</v>
      </c>
      <c r="G435" s="24" t="n">
        <f aca="false">G414*Assumptions!$F$40</f>
        <v>0</v>
      </c>
      <c r="H435" s="24" t="n">
        <f aca="false">H414*Assumptions!$F$40</f>
        <v>0</v>
      </c>
      <c r="I435" s="24" t="n">
        <f aca="false">I414*Assumptions!$F$40</f>
        <v>0</v>
      </c>
      <c r="J435" s="24" t="n">
        <f aca="false">J414*Assumptions!$F$40</f>
        <v>0</v>
      </c>
      <c r="K435" s="24" t="n">
        <f aca="false">K414*Assumptions!$F$40</f>
        <v>0</v>
      </c>
      <c r="L435" s="56" t="n">
        <f aca="false">SUM(D435:K435)</f>
        <v>0</v>
      </c>
    </row>
    <row r="436" customFormat="false" ht="15" hidden="false" customHeight="false" outlineLevel="0" collapsed="false">
      <c r="A436" s="41" t="n">
        <v>34</v>
      </c>
      <c r="B436" s="21" t="s">
        <v>350</v>
      </c>
      <c r="C436" s="11" t="s">
        <v>275</v>
      </c>
      <c r="D436" s="24" t="n">
        <f aca="false">SUM(D429:D435)</f>
        <v>0.554791849285714</v>
      </c>
      <c r="E436" s="24" t="n">
        <f aca="false">SUM(E429:E435)</f>
        <v>1.46225445857143</v>
      </c>
      <c r="F436" s="24" t="n">
        <f aca="false">SUM(F429:F435)</f>
        <v>2.75588472857143</v>
      </c>
      <c r="G436" s="24" t="n">
        <f aca="false">SUM(G429:G435)</f>
        <v>3.85261299642857</v>
      </c>
      <c r="H436" s="24" t="n">
        <f aca="false">SUM(H429:H435)</f>
        <v>5.01774667071429</v>
      </c>
      <c r="I436" s="24" t="n">
        <f aca="false">SUM(I429:I435)</f>
        <v>5.593575375</v>
      </c>
      <c r="J436" s="24" t="n">
        <f aca="false">SUM(J429:J435)</f>
        <v>6.51012250071429</v>
      </c>
      <c r="K436" s="24" t="n">
        <f aca="false">SUM(K429:K435)</f>
        <v>6.77369435142857</v>
      </c>
      <c r="L436" s="56" t="n">
        <f aca="false">SUM(D436:K436)</f>
        <v>32.5206829307143</v>
      </c>
    </row>
    <row r="437" customFormat="false" ht="15" hidden="false" customHeight="false" outlineLevel="0" collapsed="false">
      <c r="A437" s="41" t="n">
        <v>35</v>
      </c>
      <c r="B437" s="17" t="s">
        <v>351</v>
      </c>
      <c r="C437" s="11" t="s">
        <v>275</v>
      </c>
      <c r="D437" s="56" t="n">
        <f aca="false">D428-D436</f>
        <v>2.73260118520714</v>
      </c>
      <c r="E437" s="56" t="n">
        <f aca="false">E428-E436</f>
        <v>8.77655767219286</v>
      </c>
      <c r="F437" s="56" t="n">
        <f aca="false">F428-F436</f>
        <v>18.4761459755357</v>
      </c>
      <c r="G437" s="56" t="n">
        <f aca="false">G428-G436</f>
        <v>29.1392183410714</v>
      </c>
      <c r="H437" s="56" t="n">
        <f aca="false">H428-H436</f>
        <v>40.50279748935</v>
      </c>
      <c r="I437" s="56" t="n">
        <f aca="false">I428-I436</f>
        <v>49.3283019567857</v>
      </c>
      <c r="J437" s="56" t="n">
        <f aca="false">J428-J436</f>
        <v>58.33046059365</v>
      </c>
      <c r="K437" s="56" t="n">
        <f aca="false">K428-K436</f>
        <v>64.3614174233357</v>
      </c>
      <c r="L437" s="56" t="n">
        <f aca="false">SUM(D437:K437)</f>
        <v>271.647500637129</v>
      </c>
    </row>
    <row r="438" customFormat="false" ht="15" hidden="false" customHeight="false" outlineLevel="0" collapsed="false">
      <c r="A438" s="46"/>
      <c r="B438" s="47" t="s">
        <v>352</v>
      </c>
      <c r="C438" s="46"/>
      <c r="D438" s="46"/>
      <c r="E438" s="46"/>
      <c r="F438" s="46"/>
      <c r="G438" s="46"/>
      <c r="H438" s="46"/>
      <c r="I438" s="46"/>
      <c r="J438" s="46"/>
      <c r="K438" s="46"/>
      <c r="L438" s="46"/>
    </row>
    <row r="439" customFormat="false" ht="15" hidden="false" customHeight="false" outlineLevel="0" collapsed="false">
      <c r="A439" s="41" t="n">
        <v>36</v>
      </c>
      <c r="B439" s="21" t="s">
        <v>319</v>
      </c>
      <c r="C439" s="11" t="s">
        <v>316</v>
      </c>
      <c r="D439" s="48" t="n">
        <f aca="false">D402*Assumptions!$F$12</f>
        <v>10.6028571428571</v>
      </c>
      <c r="E439" s="48" t="n">
        <f aca="false">E402*Assumptions!$F$12</f>
        <v>10.9971428571429</v>
      </c>
      <c r="F439" s="48" t="n">
        <f aca="false">F402*Assumptions!$F$12</f>
        <v>11.3914285714286</v>
      </c>
      <c r="G439" s="48" t="n">
        <f aca="false">G402*Assumptions!$F$12</f>
        <v>11.7857142857143</v>
      </c>
      <c r="H439" s="48" t="n">
        <f aca="false">H402*Assumptions!$F$12</f>
        <v>12.18</v>
      </c>
      <c r="I439" s="48" t="n">
        <f aca="false">I402*Assumptions!$F$12</f>
        <v>12.5742857142857</v>
      </c>
      <c r="J439" s="48" t="n">
        <f aca="false">J402*Assumptions!$F$12</f>
        <v>12.9685714285714</v>
      </c>
      <c r="K439" s="48" t="n">
        <f aca="false">K402*Assumptions!$F$12</f>
        <v>13.3628571428571</v>
      </c>
      <c r="L439" s="49" t="n">
        <f aca="false">K439</f>
        <v>13.3628571428571</v>
      </c>
    </row>
    <row r="440" customFormat="false" ht="15" hidden="false" customHeight="false" outlineLevel="0" collapsed="false">
      <c r="A440" s="41" t="n">
        <v>37</v>
      </c>
      <c r="B440" s="21" t="s">
        <v>320</v>
      </c>
      <c r="C440" s="11" t="s">
        <v>316</v>
      </c>
      <c r="D440" s="50" t="n">
        <f aca="false">D439*D403*Assumptions!$F$20</f>
        <v>0.0795214285714286</v>
      </c>
      <c r="E440" s="50" t="n">
        <f aca="false">E439*E403*Assumptions!$F$20</f>
        <v>0.247435714285714</v>
      </c>
      <c r="F440" s="50" t="n">
        <f aca="false">F439*F403*Assumptions!$F$20</f>
        <v>0.512614285714286</v>
      </c>
      <c r="G440" s="50" t="n">
        <f aca="false">G439*G403*Assumptions!$F$20</f>
        <v>0.795535714285714</v>
      </c>
      <c r="H440" s="50" t="n">
        <f aca="false">H439*H403*Assumptions!$F$20</f>
        <v>1.0962</v>
      </c>
      <c r="I440" s="50" t="n">
        <f aca="false">I439*I403*Assumptions!$F$20</f>
        <v>1.3203</v>
      </c>
      <c r="J440" s="50" t="n">
        <f aca="false">J439*J403*Assumptions!$F$20</f>
        <v>1.55622857142857</v>
      </c>
      <c r="K440" s="50" t="n">
        <f aca="false">K439*K403*Assumptions!$F$20</f>
        <v>1.70376428571429</v>
      </c>
      <c r="L440" s="51" t="n">
        <f aca="false">K440</f>
        <v>1.70376428571429</v>
      </c>
    </row>
    <row r="441" customFormat="false" ht="15" hidden="false" customHeight="false" outlineLevel="0" collapsed="false">
      <c r="A441" s="41" t="n">
        <v>38</v>
      </c>
      <c r="B441" s="21" t="s">
        <v>321</v>
      </c>
      <c r="C441" s="11" t="s">
        <v>316</v>
      </c>
      <c r="D441" s="50" t="n">
        <f aca="false">MAX(0,D440-N(C440))</f>
        <v>0.0795214285714286</v>
      </c>
      <c r="E441" s="50" t="n">
        <f aca="false">MAX(0,E440-N(D440))</f>
        <v>0.167914285714286</v>
      </c>
      <c r="F441" s="50" t="n">
        <f aca="false">MAX(0,F440-N(E440))</f>
        <v>0.265178571428571</v>
      </c>
      <c r="G441" s="50" t="n">
        <f aca="false">MAX(0,G440-N(F440))</f>
        <v>0.282921428571429</v>
      </c>
      <c r="H441" s="50" t="n">
        <f aca="false">MAX(0,H440-N(G440))</f>
        <v>0.300664285714286</v>
      </c>
      <c r="I441" s="50" t="n">
        <f aca="false">MAX(0,I440-N(H440))</f>
        <v>0.2241</v>
      </c>
      <c r="J441" s="50" t="n">
        <f aca="false">MAX(0,J440-N(I440))</f>
        <v>0.235928571428572</v>
      </c>
      <c r="K441" s="50" t="n">
        <f aca="false">MAX(0,K440-N(J440))</f>
        <v>0.147535714285714</v>
      </c>
      <c r="L441" s="52" t="n">
        <f aca="false">SUM(D441:K441)</f>
        <v>1.70376428571429</v>
      </c>
    </row>
    <row r="442" customFormat="false" ht="15" hidden="false" customHeight="false" outlineLevel="0" collapsed="false">
      <c r="A442" s="41" t="n">
        <v>39</v>
      </c>
      <c r="B442" s="21" t="s">
        <v>322</v>
      </c>
      <c r="C442" s="11" t="s">
        <v>316</v>
      </c>
      <c r="D442" s="50" t="n">
        <f aca="false">D440*Assumptions!$F$15</f>
        <v>0.22266</v>
      </c>
      <c r="E442" s="50" t="n">
        <f aca="false">E440*Assumptions!$F$15</f>
        <v>0.69282</v>
      </c>
      <c r="F442" s="50" t="n">
        <f aca="false">F440*Assumptions!$F$15</f>
        <v>1.43532</v>
      </c>
      <c r="G442" s="50" t="n">
        <f aca="false">G440*Assumptions!$F$15</f>
        <v>2.2275</v>
      </c>
      <c r="H442" s="50" t="n">
        <f aca="false">H440*Assumptions!$F$15</f>
        <v>3.06936</v>
      </c>
      <c r="I442" s="50" t="n">
        <f aca="false">I440*Assumptions!$F$15</f>
        <v>3.69684</v>
      </c>
      <c r="J442" s="50" t="n">
        <f aca="false">J440*Assumptions!$F$15</f>
        <v>4.35744</v>
      </c>
      <c r="K442" s="50" t="n">
        <f aca="false">K440*Assumptions!$F$15</f>
        <v>4.77054</v>
      </c>
      <c r="L442" s="51" t="n">
        <f aca="false">K442</f>
        <v>4.77054</v>
      </c>
    </row>
    <row r="443" customFormat="false" ht="15" hidden="false" customHeight="false" outlineLevel="0" collapsed="false">
      <c r="A443" s="41" t="n">
        <v>40</v>
      </c>
      <c r="B443" s="21" t="s">
        <v>323</v>
      </c>
      <c r="C443" s="11" t="s">
        <v>316</v>
      </c>
      <c r="D443" s="50" t="n">
        <f aca="false">N(C443)+D440*Assumptions!$F$23/100/4</f>
        <v>0.000795214285714286</v>
      </c>
      <c r="E443" s="50" t="n">
        <f aca="false">N(D443)+E440*Assumptions!$F$23/100/4</f>
        <v>0.00326957142857143</v>
      </c>
      <c r="F443" s="50" t="n">
        <f aca="false">N(E443)+F440*Assumptions!$F$23/100/4</f>
        <v>0.00839571428571428</v>
      </c>
      <c r="G443" s="50" t="n">
        <f aca="false">N(F443)+G440*Assumptions!$F$23/100/4</f>
        <v>0.0163510714285714</v>
      </c>
      <c r="H443" s="50" t="n">
        <f aca="false">N(G443)+H440*Assumptions!$F$23/100/4</f>
        <v>0.0273130714285714</v>
      </c>
      <c r="I443" s="50" t="n">
        <f aca="false">N(H443)+I440*Assumptions!$F$23/100/4</f>
        <v>0.0405160714285714</v>
      </c>
      <c r="J443" s="50" t="n">
        <f aca="false">N(I443)+J440*Assumptions!$F$23/100/4</f>
        <v>0.0560783571428571</v>
      </c>
      <c r="K443" s="50" t="n">
        <f aca="false">N(J443)+K440*Assumptions!$F$23/100/4</f>
        <v>0.073116</v>
      </c>
      <c r="L443" s="51" t="n">
        <f aca="false">K443</f>
        <v>0.073116</v>
      </c>
    </row>
    <row r="444" customFormat="false" ht="15" hidden="false" customHeight="false" outlineLevel="0" collapsed="false">
      <c r="A444" s="41" t="n">
        <v>41</v>
      </c>
      <c r="B444" s="21" t="s">
        <v>324</v>
      </c>
      <c r="C444" s="11" t="s">
        <v>316</v>
      </c>
      <c r="D444" s="50" t="n">
        <f aca="false">D442+D443</f>
        <v>0.223455214285714</v>
      </c>
      <c r="E444" s="50" t="n">
        <f aca="false">E442+E443</f>
        <v>0.696089571428571</v>
      </c>
      <c r="F444" s="50" t="n">
        <f aca="false">F442+F443</f>
        <v>1.44371571428571</v>
      </c>
      <c r="G444" s="50" t="n">
        <f aca="false">G442+G443</f>
        <v>2.24385107142857</v>
      </c>
      <c r="H444" s="50" t="n">
        <f aca="false">H442+H443</f>
        <v>3.09667307142857</v>
      </c>
      <c r="I444" s="50" t="n">
        <f aca="false">I442+I443</f>
        <v>3.73735607142857</v>
      </c>
      <c r="J444" s="50" t="n">
        <f aca="false">J442+J443</f>
        <v>4.41351835714286</v>
      </c>
      <c r="K444" s="50" t="n">
        <f aca="false">K442+K443</f>
        <v>4.843656</v>
      </c>
      <c r="L444" s="51" t="n">
        <f aca="false">K444</f>
        <v>4.843656</v>
      </c>
    </row>
    <row r="445" customFormat="false" ht="15" hidden="false" customHeight="false" outlineLevel="0" collapsed="false">
      <c r="A445" s="41" t="n">
        <v>42</v>
      </c>
      <c r="B445" s="21" t="s">
        <v>325</v>
      </c>
      <c r="C445" s="11" t="s">
        <v>316</v>
      </c>
      <c r="D445" s="50" t="n">
        <f aca="false">D444*Assumptions!$F$31</f>
        <v>0.15641865</v>
      </c>
      <c r="E445" s="50" t="n">
        <f aca="false">E444*Assumptions!$F$31</f>
        <v>0.4872627</v>
      </c>
      <c r="F445" s="50" t="n">
        <f aca="false">F444*Assumptions!$F$31</f>
        <v>1.010601</v>
      </c>
      <c r="G445" s="50" t="n">
        <f aca="false">G444*Assumptions!$F$31</f>
        <v>1.57069575</v>
      </c>
      <c r="H445" s="50" t="n">
        <f aca="false">H444*Assumptions!$F$31</f>
        <v>2.16767115</v>
      </c>
      <c r="I445" s="50" t="n">
        <f aca="false">I444*Assumptions!$F$31</f>
        <v>2.61614925</v>
      </c>
      <c r="J445" s="50" t="n">
        <f aca="false">J444*Assumptions!$F$31</f>
        <v>3.08946285</v>
      </c>
      <c r="K445" s="50" t="n">
        <f aca="false">K444*Assumptions!$F$31</f>
        <v>3.3905592</v>
      </c>
      <c r="L445" s="51" t="n">
        <f aca="false">K445</f>
        <v>3.3905592</v>
      </c>
    </row>
    <row r="446" customFormat="false" ht="15" hidden="false" customHeight="false" outlineLevel="0" collapsed="false">
      <c r="A446" s="41" t="n">
        <v>43</v>
      </c>
      <c r="B446" s="21" t="s">
        <v>326</v>
      </c>
      <c r="C446" s="11" t="s">
        <v>316</v>
      </c>
      <c r="D446" s="50" t="n">
        <f aca="false">D440*Assumptions!$F$35</f>
        <v>0.0477128571428571</v>
      </c>
      <c r="E446" s="50" t="n">
        <f aca="false">E440*Assumptions!$F$35</f>
        <v>0.148461428571429</v>
      </c>
      <c r="F446" s="50" t="n">
        <f aca="false">F440*Assumptions!$F$35</f>
        <v>0.307568571428571</v>
      </c>
      <c r="G446" s="50" t="n">
        <f aca="false">G440*Assumptions!$F$35</f>
        <v>0.477321428571429</v>
      </c>
      <c r="H446" s="50" t="n">
        <f aca="false">H440*Assumptions!$F$35</f>
        <v>0.65772</v>
      </c>
      <c r="I446" s="50" t="n">
        <f aca="false">I440*Assumptions!$F$35</f>
        <v>0.79218</v>
      </c>
      <c r="J446" s="50" t="n">
        <f aca="false">J440*Assumptions!$F$35</f>
        <v>0.933737142857143</v>
      </c>
      <c r="K446" s="50" t="n">
        <f aca="false">K440*Assumptions!$F$35</f>
        <v>1.02225857142857</v>
      </c>
      <c r="L446" s="51" t="n">
        <f aca="false">K446</f>
        <v>1.02225857142857</v>
      </c>
    </row>
    <row r="447" customFormat="false" ht="15" hidden="false" customHeight="false" outlineLevel="0" collapsed="false">
      <c r="A447" s="41" t="n">
        <v>44</v>
      </c>
      <c r="B447" s="21" t="s">
        <v>327</v>
      </c>
      <c r="C447" s="11" t="s">
        <v>316</v>
      </c>
      <c r="D447" s="50" t="n">
        <f aca="false">D446*Assumptions!$F$36/4</f>
        <v>0.0357846428571429</v>
      </c>
      <c r="E447" s="50" t="n">
        <f aca="false">E446*Assumptions!$F$36/4</f>
        <v>0.111346071428571</v>
      </c>
      <c r="F447" s="50" t="n">
        <f aca="false">F446*Assumptions!$F$36/4</f>
        <v>0.230676428571429</v>
      </c>
      <c r="G447" s="50" t="n">
        <f aca="false">G446*Assumptions!$F$36/4</f>
        <v>0.357991071428571</v>
      </c>
      <c r="H447" s="50" t="n">
        <f aca="false">H446*Assumptions!$F$36/4</f>
        <v>0.49329</v>
      </c>
      <c r="I447" s="50" t="n">
        <f aca="false">I446*Assumptions!$F$36/4</f>
        <v>0.594135</v>
      </c>
      <c r="J447" s="50" t="n">
        <f aca="false">J446*Assumptions!$F$36/4</f>
        <v>0.700302857142857</v>
      </c>
      <c r="K447" s="50" t="n">
        <f aca="false">K446*Assumptions!$F$36/4</f>
        <v>0.766693928571429</v>
      </c>
      <c r="L447" s="52" t="n">
        <f aca="false">SUM(D447:K447)</f>
        <v>3.29022</v>
      </c>
    </row>
    <row r="448" customFormat="false" ht="15" hidden="false" customHeight="false" outlineLevel="0" collapsed="false">
      <c r="A448" s="41" t="n">
        <v>45</v>
      </c>
      <c r="B448" s="21" t="s">
        <v>328</v>
      </c>
      <c r="C448" s="11" t="s">
        <v>275</v>
      </c>
      <c r="D448" s="53" t="n">
        <f aca="false">D447*Assumptions!$F$37*Assumptions!$F$15/100</f>
        <v>120.2364</v>
      </c>
      <c r="E448" s="53" t="n">
        <f aca="false">E447*Assumptions!$F$37*Assumptions!$F$15/100</f>
        <v>374.1228</v>
      </c>
      <c r="F448" s="53" t="n">
        <f aca="false">F447*Assumptions!$F$37*Assumptions!$F$15/100</f>
        <v>775.0728</v>
      </c>
      <c r="G448" s="53" t="n">
        <f aca="false">G447*Assumptions!$F$37*Assumptions!$F$15/100</f>
        <v>1202.85</v>
      </c>
      <c r="H448" s="53" t="n">
        <f aca="false">H447*Assumptions!$F$37*Assumptions!$F$15/100</f>
        <v>1657.4544</v>
      </c>
      <c r="I448" s="53" t="n">
        <f aca="false">I447*Assumptions!$F$37*Assumptions!$F$15/100</f>
        <v>1996.2936</v>
      </c>
      <c r="J448" s="53" t="n">
        <f aca="false">J447*Assumptions!$F$37*Assumptions!$F$15/100</f>
        <v>2353.0176</v>
      </c>
      <c r="K448" s="53" t="n">
        <f aca="false">K447*Assumptions!$F$37*Assumptions!$F$15/100</f>
        <v>2576.0916</v>
      </c>
      <c r="L448" s="54" t="n">
        <f aca="false">SUM(D448:K448)</f>
        <v>11055.1392</v>
      </c>
    </row>
    <row r="449" customFormat="false" ht="15" hidden="false" customHeight="false" outlineLevel="0" collapsed="false">
      <c r="A449" s="41" t="n">
        <v>46</v>
      </c>
      <c r="B449" s="21" t="s">
        <v>329</v>
      </c>
      <c r="C449" s="11" t="s">
        <v>275</v>
      </c>
      <c r="D449" s="34" t="n">
        <f aca="false">D442*Assumptions!$F$7*3/100</f>
        <v>868.374</v>
      </c>
      <c r="E449" s="34" t="n">
        <f aca="false">E442*Assumptions!$F$7*3/100</f>
        <v>2701.998</v>
      </c>
      <c r="F449" s="34" t="n">
        <f aca="false">F442*Assumptions!$F$7*3/100</f>
        <v>5597.748</v>
      </c>
      <c r="G449" s="34" t="n">
        <f aca="false">G442*Assumptions!$F$7*3/100</f>
        <v>8687.25</v>
      </c>
      <c r="H449" s="34" t="n">
        <f aca="false">H442*Assumptions!$F$7*3/100</f>
        <v>11970.504</v>
      </c>
      <c r="I449" s="34" t="n">
        <f aca="false">I442*Assumptions!$F$7*3/100</f>
        <v>14417.676</v>
      </c>
      <c r="J449" s="34" t="n">
        <f aca="false">J442*Assumptions!$F$7*3/100</f>
        <v>16994.016</v>
      </c>
      <c r="K449" s="34" t="n">
        <f aca="false">K442*Assumptions!$F$7*3/100</f>
        <v>18605.106</v>
      </c>
      <c r="L449" s="55" t="n">
        <f aca="false">SUM(D449:K449)</f>
        <v>79842.672</v>
      </c>
    </row>
    <row r="450" customFormat="false" ht="15" hidden="false" customHeight="false" outlineLevel="0" collapsed="false">
      <c r="A450" s="41" t="n">
        <v>47</v>
      </c>
      <c r="B450" s="21" t="s">
        <v>330</v>
      </c>
      <c r="C450" s="11" t="s">
        <v>275</v>
      </c>
      <c r="D450" s="53" t="n">
        <f aca="false">D449*Assumptions!$F$42</f>
        <v>26.05122</v>
      </c>
      <c r="E450" s="53" t="n">
        <f aca="false">E449*Assumptions!$F$42</f>
        <v>81.05994</v>
      </c>
      <c r="F450" s="53" t="n">
        <f aca="false">F449*Assumptions!$F$42</f>
        <v>167.93244</v>
      </c>
      <c r="G450" s="53" t="n">
        <f aca="false">G449*Assumptions!$F$42</f>
        <v>260.6175</v>
      </c>
      <c r="H450" s="53" t="n">
        <f aca="false">H449*Assumptions!$F$42</f>
        <v>359.11512</v>
      </c>
      <c r="I450" s="53" t="n">
        <f aca="false">I449*Assumptions!$F$42</f>
        <v>432.53028</v>
      </c>
      <c r="J450" s="53" t="n">
        <f aca="false">J449*Assumptions!$F$42</f>
        <v>509.82048</v>
      </c>
      <c r="K450" s="53" t="n">
        <f aca="false">K449*Assumptions!$F$42</f>
        <v>558.15318</v>
      </c>
      <c r="L450" s="54" t="n">
        <f aca="false">SUM(D450:K450)</f>
        <v>2395.28016</v>
      </c>
    </row>
    <row r="451" customFormat="false" ht="15" hidden="false" customHeight="false" outlineLevel="0" collapsed="false">
      <c r="A451" s="41" t="n">
        <v>48</v>
      </c>
      <c r="B451" s="21" t="s">
        <v>353</v>
      </c>
      <c r="C451" s="11" t="s">
        <v>275</v>
      </c>
      <c r="D451" s="53" t="n">
        <f aca="false">D449*Assumptions!$F$43</f>
        <v>43.4187</v>
      </c>
      <c r="E451" s="53" t="n">
        <f aca="false">E449*Assumptions!$F$43</f>
        <v>135.0999</v>
      </c>
      <c r="F451" s="53" t="n">
        <f aca="false">F449*Assumptions!$F$43</f>
        <v>279.8874</v>
      </c>
      <c r="G451" s="53" t="n">
        <f aca="false">G449*Assumptions!$F$43</f>
        <v>434.3625</v>
      </c>
      <c r="H451" s="53" t="n">
        <f aca="false">H449*Assumptions!$F$43</f>
        <v>598.5252</v>
      </c>
      <c r="I451" s="53" t="n">
        <f aca="false">I449*Assumptions!$F$43</f>
        <v>720.8838</v>
      </c>
      <c r="J451" s="53" t="n">
        <f aca="false">J449*Assumptions!$F$43</f>
        <v>849.7008</v>
      </c>
      <c r="K451" s="53" t="n">
        <f aca="false">K449*Assumptions!$F$43</f>
        <v>930.2553</v>
      </c>
      <c r="L451" s="54" t="n">
        <f aca="false">SUM(D451:K451)</f>
        <v>3992.1336</v>
      </c>
    </row>
    <row r="452" customFormat="false" ht="15" hidden="false" customHeight="false" outlineLevel="0" collapsed="false">
      <c r="A452" s="41" t="n">
        <v>49</v>
      </c>
      <c r="B452" s="21" t="s">
        <v>331</v>
      </c>
      <c r="C452" s="11" t="s">
        <v>275</v>
      </c>
      <c r="D452" s="53" t="n">
        <f aca="false">D445*Assumptions!$F$7*3/100*Assumptions!$F$44</f>
        <v>12.2006547</v>
      </c>
      <c r="E452" s="53" t="n">
        <f aca="false">E445*Assumptions!$F$7*3/100*Assumptions!$F$44</f>
        <v>38.0064906</v>
      </c>
      <c r="F452" s="53" t="n">
        <f aca="false">F445*Assumptions!$F$7*3/100*Assumptions!$F$44</f>
        <v>78.826878</v>
      </c>
      <c r="G452" s="53" t="n">
        <f aca="false">G445*Assumptions!$F$7*3/100*Assumptions!$F$44</f>
        <v>122.5142685</v>
      </c>
      <c r="H452" s="53" t="n">
        <f aca="false">H445*Assumptions!$F$7*3/100*Assumptions!$F$44</f>
        <v>169.0783497</v>
      </c>
      <c r="I452" s="53" t="n">
        <f aca="false">I445*Assumptions!$F$7*3/100*Assumptions!$F$44</f>
        <v>204.0596415</v>
      </c>
      <c r="J452" s="53" t="n">
        <f aca="false">J445*Assumptions!$F$7*3/100*Assumptions!$F$44</f>
        <v>240.9781023</v>
      </c>
      <c r="K452" s="53" t="n">
        <f aca="false">K445*Assumptions!$F$7*3/100*Assumptions!$F$44</f>
        <v>264.4636176</v>
      </c>
      <c r="L452" s="54" t="n">
        <f aca="false">SUM(D452:K452)</f>
        <v>1130.1280029</v>
      </c>
    </row>
    <row r="453" customFormat="false" ht="15" hidden="false" customHeight="false" outlineLevel="0" collapsed="false">
      <c r="A453" s="41" t="n">
        <v>50</v>
      </c>
      <c r="B453" s="21" t="s">
        <v>332</v>
      </c>
      <c r="C453" s="11" t="s">
        <v>316</v>
      </c>
      <c r="D453" s="50" t="n">
        <f aca="false">N(C453)+D444*Assumptions!$F$45/4</f>
        <v>0.00167591410714286</v>
      </c>
      <c r="E453" s="50" t="n">
        <f aca="false">N(D453)+E444*Assumptions!$F$45/4</f>
        <v>0.00689658589285714</v>
      </c>
      <c r="F453" s="50" t="n">
        <f aca="false">N(E453)+F444*Assumptions!$F$45/4</f>
        <v>0.01772445375</v>
      </c>
      <c r="G453" s="50" t="n">
        <f aca="false">N(F453)+G444*Assumptions!$F$45/4</f>
        <v>0.0345533367857143</v>
      </c>
      <c r="H453" s="50" t="n">
        <f aca="false">N(G453)+H444*Assumptions!$F$45/4</f>
        <v>0.0577783848214286</v>
      </c>
      <c r="I453" s="50" t="n">
        <f aca="false">N(H453)+I444*Assumptions!$F$45/4</f>
        <v>0.0858085553571429</v>
      </c>
      <c r="J453" s="50" t="n">
        <f aca="false">N(I453)+J444*Assumptions!$F$45/4</f>
        <v>0.118909943035714</v>
      </c>
      <c r="K453" s="50" t="n">
        <f aca="false">N(J453)+K444*Assumptions!$F$45/4</f>
        <v>0.155237363035714</v>
      </c>
      <c r="L453" s="51" t="n">
        <f aca="false">K453</f>
        <v>0.155237363035714</v>
      </c>
    </row>
    <row r="454" customFormat="false" ht="15" hidden="false" customHeight="false" outlineLevel="0" collapsed="false">
      <c r="A454" s="41" t="n">
        <v>51</v>
      </c>
      <c r="B454" s="21" t="s">
        <v>333</v>
      </c>
      <c r="C454" s="11" t="s">
        <v>275</v>
      </c>
      <c r="D454" s="53" t="n">
        <f aca="false">D453*Assumptions!$F$7*3/100</f>
        <v>6.53606501785714</v>
      </c>
      <c r="E454" s="53" t="n">
        <f aca="false">E453*Assumptions!$F$7*3/100</f>
        <v>26.8966849821429</v>
      </c>
      <c r="F454" s="53" t="n">
        <f aca="false">F453*Assumptions!$F$7*3/100</f>
        <v>69.125369625</v>
      </c>
      <c r="G454" s="53" t="n">
        <f aca="false">G453*Assumptions!$F$7*3/100</f>
        <v>134.758013464286</v>
      </c>
      <c r="H454" s="53" t="n">
        <f aca="false">H453*Assumptions!$F$7*3/100</f>
        <v>225.335700803571</v>
      </c>
      <c r="I454" s="53" t="n">
        <f aca="false">I453*Assumptions!$F$7*3/100</f>
        <v>334.653365892857</v>
      </c>
      <c r="J454" s="53" t="n">
        <f aca="false">J453*Assumptions!$F$7*3/100</f>
        <v>463.748777839286</v>
      </c>
      <c r="K454" s="53" t="n">
        <f aca="false">K453*Assumptions!$F$7*3/100</f>
        <v>605.425715839286</v>
      </c>
      <c r="L454" s="54" t="n">
        <f aca="false">SUM(D454:K454)</f>
        <v>1866.47969346429</v>
      </c>
    </row>
    <row r="455" customFormat="false" ht="15" hidden="false" customHeight="false" outlineLevel="0" collapsed="false">
      <c r="A455" s="41" t="n">
        <v>52</v>
      </c>
      <c r="B455" s="21" t="s">
        <v>334</v>
      </c>
      <c r="C455" s="11" t="s">
        <v>275</v>
      </c>
      <c r="D455" s="53" t="n">
        <f aca="false">D443*Assumptions!$F$7*3/100</f>
        <v>3.10133571428571</v>
      </c>
      <c r="E455" s="53" t="n">
        <f aca="false">E443*Assumptions!$F$7*3/100</f>
        <v>12.7513285714286</v>
      </c>
      <c r="F455" s="53" t="n">
        <f aca="false">F443*Assumptions!$F$7*3/100</f>
        <v>32.7432857142857</v>
      </c>
      <c r="G455" s="53" t="n">
        <f aca="false">G443*Assumptions!$F$7*3/100</f>
        <v>63.7691785714286</v>
      </c>
      <c r="H455" s="53" t="n">
        <f aca="false">H443*Assumptions!$F$7*3/100</f>
        <v>106.520978571429</v>
      </c>
      <c r="I455" s="53" t="n">
        <f aca="false">I443*Assumptions!$F$7*3/100</f>
        <v>158.012678571429</v>
      </c>
      <c r="J455" s="53" t="n">
        <f aca="false">J443*Assumptions!$F$7*3/100</f>
        <v>218.705592857143</v>
      </c>
      <c r="K455" s="53" t="n">
        <f aca="false">K443*Assumptions!$F$7*3/100</f>
        <v>285.1524</v>
      </c>
      <c r="L455" s="54" t="n">
        <f aca="false">SUM(D455:K455)</f>
        <v>880.756778571429</v>
      </c>
    </row>
    <row r="456" customFormat="false" ht="15" hidden="false" customHeight="false" outlineLevel="0" collapsed="false">
      <c r="A456" s="41" t="n">
        <v>53</v>
      </c>
      <c r="B456" s="21" t="s">
        <v>335</v>
      </c>
      <c r="C456" s="11" t="s">
        <v>275</v>
      </c>
      <c r="D456" s="53" t="n">
        <f aca="false">D450+D452+D454+D455+D451</f>
        <v>91.3079754321429</v>
      </c>
      <c r="E456" s="53" t="n">
        <f aca="false">E450+E452+E454+E455+E451</f>
        <v>293.814344153572</v>
      </c>
      <c r="F456" s="53" t="n">
        <f aca="false">F450+F452+F454+F455+F451</f>
        <v>628.515373339286</v>
      </c>
      <c r="G456" s="53" t="n">
        <f aca="false">G450+G452+G454+G455+G451</f>
        <v>1016.02146053571</v>
      </c>
      <c r="H456" s="53" t="n">
        <f aca="false">H450+H452+H454+H455+H451</f>
        <v>1458.575349075</v>
      </c>
      <c r="I456" s="53" t="n">
        <f aca="false">I450+I452+I454+I455+I451</f>
        <v>1850.13976596429</v>
      </c>
      <c r="J456" s="53" t="n">
        <f aca="false">J450+J452+J454+J455+J451</f>
        <v>2282.95375299643</v>
      </c>
      <c r="K456" s="53" t="n">
        <f aca="false">K450+K452+K454+K455+K451</f>
        <v>2643.45021343929</v>
      </c>
      <c r="L456" s="54" t="n">
        <f aca="false">SUM(D456:K456)</f>
        <v>10264.7782349357</v>
      </c>
    </row>
    <row r="457" customFormat="false" ht="15" hidden="false" customHeight="false" outlineLevel="0" collapsed="false">
      <c r="A457" s="41" t="n">
        <v>54</v>
      </c>
      <c r="B457" s="21" t="s">
        <v>336</v>
      </c>
      <c r="C457" s="11" t="s">
        <v>275</v>
      </c>
      <c r="D457" s="24" t="n">
        <f aca="false">D440*Assumptions!$F$25*3/100</f>
        <v>0.713307214285714</v>
      </c>
      <c r="E457" s="24" t="n">
        <f aca="false">E440*Assumptions!$F$25*3/100</f>
        <v>2.21949835714286</v>
      </c>
      <c r="F457" s="24" t="n">
        <f aca="false">F440*Assumptions!$F$25*3/100</f>
        <v>4.59815014285714</v>
      </c>
      <c r="G457" s="24" t="n">
        <f aca="false">G440*Assumptions!$F$25*3/100</f>
        <v>7.13595535714286</v>
      </c>
      <c r="H457" s="24" t="n">
        <f aca="false">H440*Assumptions!$F$25*3/100</f>
        <v>9.832914</v>
      </c>
      <c r="I457" s="24" t="n">
        <f aca="false">I440*Assumptions!$F$25*3/100</f>
        <v>11.843091</v>
      </c>
      <c r="J457" s="24" t="n">
        <f aca="false">J440*Assumptions!$F$25*3/100</f>
        <v>13.9593702857143</v>
      </c>
      <c r="K457" s="24" t="n">
        <f aca="false">K440*Assumptions!$F$25*3/100</f>
        <v>15.2827656428571</v>
      </c>
      <c r="L457" s="56" t="n">
        <f aca="false">SUM(D457:K457)</f>
        <v>65.585052</v>
      </c>
    </row>
    <row r="458" customFormat="false" ht="15" hidden="false" customHeight="false" outlineLevel="0" collapsed="false">
      <c r="A458" s="41" t="n">
        <v>55</v>
      </c>
      <c r="B458" s="21" t="s">
        <v>337</v>
      </c>
      <c r="C458" s="11" t="s">
        <v>275</v>
      </c>
      <c r="D458" s="24" t="n">
        <f aca="false">D445*Assumptions!$F$29*3/100</f>
        <v>0.6991913655</v>
      </c>
      <c r="E458" s="24" t="n">
        <f aca="false">E445*Assumptions!$F$29*3/100</f>
        <v>2.178064269</v>
      </c>
      <c r="F458" s="24" t="n">
        <f aca="false">F445*Assumptions!$F$29*3/100</f>
        <v>4.51738647</v>
      </c>
      <c r="G458" s="24" t="n">
        <f aca="false">G445*Assumptions!$F$29*3/100</f>
        <v>7.0210100025</v>
      </c>
      <c r="H458" s="24" t="n">
        <f aca="false">H445*Assumptions!$F$29*3/100</f>
        <v>9.6894900405</v>
      </c>
      <c r="I458" s="24" t="n">
        <f aca="false">I445*Assumptions!$F$29*3/100</f>
        <v>11.6941871475</v>
      </c>
      <c r="J458" s="24" t="n">
        <f aca="false">J445*Assumptions!$F$29*3/100</f>
        <v>13.8098989395</v>
      </c>
      <c r="K458" s="24" t="n">
        <f aca="false">K445*Assumptions!$F$29*3/100</f>
        <v>15.155799624</v>
      </c>
      <c r="L458" s="56" t="n">
        <f aca="false">SUM(D458:K458)</f>
        <v>64.7650278585</v>
      </c>
    </row>
    <row r="459" customFormat="false" ht="15" hidden="false" customHeight="false" outlineLevel="0" collapsed="false">
      <c r="A459" s="41" t="n">
        <v>56</v>
      </c>
      <c r="B459" s="21" t="s">
        <v>338</v>
      </c>
      <c r="C459" s="11" t="s">
        <v>275</v>
      </c>
      <c r="D459" s="24" t="n">
        <f aca="false">D440*Assumptions!$F$33*Assumptions!$F$32*3/100</f>
        <v>0.106638235714286</v>
      </c>
      <c r="E459" s="24" t="n">
        <f aca="false">E440*Assumptions!$F$33*Assumptions!$F$32*3/100</f>
        <v>0.331811292857143</v>
      </c>
      <c r="F459" s="24" t="n">
        <f aca="false">F440*Assumptions!$F$33*Assumptions!$F$32*3/100</f>
        <v>0.687415757142857</v>
      </c>
      <c r="G459" s="24" t="n">
        <f aca="false">G440*Assumptions!$F$33*Assumptions!$F$32*3/100</f>
        <v>1.06681339285714</v>
      </c>
      <c r="H459" s="24" t="n">
        <f aca="false">H440*Assumptions!$F$33*Assumptions!$F$32*3/100</f>
        <v>1.4700042</v>
      </c>
      <c r="I459" s="24" t="n">
        <f aca="false">I440*Assumptions!$F$33*Assumptions!$F$32*3/100</f>
        <v>1.7705223</v>
      </c>
      <c r="J459" s="24" t="n">
        <f aca="false">J440*Assumptions!$F$33*Assumptions!$F$32*3/100</f>
        <v>2.08690251428571</v>
      </c>
      <c r="K459" s="24" t="n">
        <f aca="false">K440*Assumptions!$F$33*Assumptions!$F$32*3/100</f>
        <v>2.28474790714286</v>
      </c>
      <c r="L459" s="56" t="n">
        <f aca="false">SUM(D459:K459)</f>
        <v>9.8048556</v>
      </c>
    </row>
    <row r="460" customFormat="false" ht="15" hidden="false" customHeight="false" outlineLevel="0" collapsed="false">
      <c r="A460" s="41" t="n">
        <v>57</v>
      </c>
      <c r="B460" s="21" t="s">
        <v>339</v>
      </c>
      <c r="C460" s="11" t="s">
        <v>275</v>
      </c>
      <c r="D460" s="24" t="n">
        <f aca="false">D448*Assumptions!$F$38</f>
        <v>3.00591</v>
      </c>
      <c r="E460" s="24" t="n">
        <f aca="false">E448*Assumptions!$F$38</f>
        <v>9.35307</v>
      </c>
      <c r="F460" s="24" t="n">
        <f aca="false">F448*Assumptions!$F$38</f>
        <v>19.37682</v>
      </c>
      <c r="G460" s="24" t="n">
        <f aca="false">G448*Assumptions!$F$38</f>
        <v>30.07125</v>
      </c>
      <c r="H460" s="24" t="n">
        <f aca="false">H448*Assumptions!$F$38</f>
        <v>41.43636</v>
      </c>
      <c r="I460" s="24" t="n">
        <f aca="false">I448*Assumptions!$F$38</f>
        <v>49.90734</v>
      </c>
      <c r="J460" s="24" t="n">
        <f aca="false">J448*Assumptions!$F$38</f>
        <v>58.82544</v>
      </c>
      <c r="K460" s="24" t="n">
        <f aca="false">K448*Assumptions!$F$38</f>
        <v>64.40229</v>
      </c>
      <c r="L460" s="56" t="n">
        <f aca="false">SUM(D460:K460)</f>
        <v>276.37848</v>
      </c>
    </row>
    <row r="461" customFormat="false" ht="15" hidden="false" customHeight="false" outlineLevel="0" collapsed="false">
      <c r="A461" s="41" t="n">
        <v>58</v>
      </c>
      <c r="B461" s="21" t="s">
        <v>340</v>
      </c>
      <c r="C461" s="11" t="s">
        <v>275</v>
      </c>
      <c r="D461" s="24" t="n">
        <f aca="false">D456*Assumptions!$F$6</f>
        <v>0.0365231901728571</v>
      </c>
      <c r="E461" s="24" t="n">
        <f aca="false">E456*Assumptions!$F$6</f>
        <v>0.117525737661429</v>
      </c>
      <c r="F461" s="24" t="n">
        <f aca="false">F456*Assumptions!$F$6</f>
        <v>0.251406149335714</v>
      </c>
      <c r="G461" s="24" t="n">
        <f aca="false">G456*Assumptions!$F$6</f>
        <v>0.406408584214286</v>
      </c>
      <c r="H461" s="24" t="n">
        <f aca="false">H456*Assumptions!$F$6</f>
        <v>0.58343013963</v>
      </c>
      <c r="I461" s="24" t="n">
        <f aca="false">I456*Assumptions!$F$6</f>
        <v>0.740055906385714</v>
      </c>
      <c r="J461" s="24" t="n">
        <f aca="false">J456*Assumptions!$F$6</f>
        <v>0.913181501198571</v>
      </c>
      <c r="K461" s="24" t="n">
        <f aca="false">K456*Assumptions!$F$6</f>
        <v>1.05738008537571</v>
      </c>
      <c r="L461" s="56" t="n">
        <f aca="false">SUM(D461:K461)</f>
        <v>4.10591129397429</v>
      </c>
    </row>
    <row r="462" customFormat="false" ht="15" hidden="false" customHeight="false" outlineLevel="0" collapsed="false">
      <c r="A462" s="41" t="n">
        <v>59</v>
      </c>
      <c r="B462" s="21" t="s">
        <v>341</v>
      </c>
      <c r="C462" s="11" t="s">
        <v>275</v>
      </c>
      <c r="D462" s="24" t="n">
        <f aca="false">(D453+D443)*Assumptions!$F$9*3/100</f>
        <v>0.00741338517857143</v>
      </c>
      <c r="E462" s="24" t="n">
        <f aca="false">(E453+E443)*Assumptions!$F$9*3/100</f>
        <v>0.0304984719642857</v>
      </c>
      <c r="F462" s="24" t="n">
        <f aca="false">(F453+F443)*Assumptions!$F$9*3/100</f>
        <v>0.0783605041071429</v>
      </c>
      <c r="G462" s="24" t="n">
        <f aca="false">(G453+G443)*Assumptions!$F$9*3/100</f>
        <v>0.152713224642857</v>
      </c>
      <c r="H462" s="24" t="n">
        <f aca="false">(H453+H443)*Assumptions!$F$9*3/100</f>
        <v>0.25527436875</v>
      </c>
      <c r="I462" s="24" t="n">
        <f aca="false">(I453+I443)*Assumptions!$F$9*3/100</f>
        <v>0.378973880357143</v>
      </c>
      <c r="J462" s="24" t="n">
        <f aca="false">(J453+J443)*Assumptions!$F$9*3/100</f>
        <v>0.524964900535714</v>
      </c>
      <c r="K462" s="24" t="n">
        <f aca="false">(K453+K443)*Assumptions!$F$9*3/100</f>
        <v>0.685060089107143</v>
      </c>
      <c r="L462" s="56" t="n">
        <f aca="false">SUM(D462:K462)</f>
        <v>2.11325882464286</v>
      </c>
    </row>
    <row r="463" customFormat="false" ht="15" hidden="false" customHeight="false" outlineLevel="0" collapsed="false">
      <c r="A463" s="41" t="n">
        <v>60</v>
      </c>
      <c r="B463" s="21" t="s">
        <v>342</v>
      </c>
      <c r="C463" s="11" t="s">
        <v>275</v>
      </c>
      <c r="D463" s="24" t="n">
        <f aca="false">SUM(D457:D462)</f>
        <v>4.56898339085143</v>
      </c>
      <c r="E463" s="24" t="n">
        <f aca="false">SUM(E457:E462)</f>
        <v>14.2304681286257</v>
      </c>
      <c r="F463" s="24" t="n">
        <f aca="false">SUM(F457:F462)</f>
        <v>29.5095390234429</v>
      </c>
      <c r="G463" s="24" t="n">
        <f aca="false">SUM(G457:G462)</f>
        <v>45.8541505613571</v>
      </c>
      <c r="H463" s="24" t="n">
        <f aca="false">SUM(H457:H462)</f>
        <v>63.26747274888</v>
      </c>
      <c r="I463" s="24" t="n">
        <f aca="false">SUM(I457:I462)</f>
        <v>76.3341702342428</v>
      </c>
      <c r="J463" s="24" t="n">
        <f aca="false">SUM(J457:J462)</f>
        <v>90.1197581412343</v>
      </c>
      <c r="K463" s="24" t="n">
        <f aca="false">SUM(K457:K462)</f>
        <v>98.8680433484829</v>
      </c>
      <c r="L463" s="56" t="n">
        <f aca="false">SUM(D463:K463)</f>
        <v>422.752585577117</v>
      </c>
    </row>
    <row r="464" customFormat="false" ht="15" hidden="false" customHeight="false" outlineLevel="0" collapsed="false">
      <c r="A464" s="41" t="n">
        <v>61</v>
      </c>
      <c r="B464" s="21" t="s">
        <v>343</v>
      </c>
      <c r="C464" s="11" t="s">
        <v>275</v>
      </c>
      <c r="D464" s="24" t="n">
        <f aca="false">D444*Assumptions!$F$47*3/100</f>
        <v>0.100554846428571</v>
      </c>
      <c r="E464" s="24" t="n">
        <f aca="false">E444*Assumptions!$F$47*3/100</f>
        <v>0.313240307142857</v>
      </c>
      <c r="F464" s="24" t="n">
        <f aca="false">F444*Assumptions!$F$47*3/100</f>
        <v>0.649672071428571</v>
      </c>
      <c r="G464" s="24" t="n">
        <f aca="false">G444*Assumptions!$F$47*3/100</f>
        <v>1.00973298214286</v>
      </c>
      <c r="H464" s="24" t="n">
        <f aca="false">H444*Assumptions!$F$47*3/100</f>
        <v>1.39350288214286</v>
      </c>
      <c r="I464" s="24" t="n">
        <f aca="false">I444*Assumptions!$F$47*3/100</f>
        <v>1.68181023214286</v>
      </c>
      <c r="J464" s="24" t="n">
        <f aca="false">J444*Assumptions!$F$47*3/100</f>
        <v>1.98608326071429</v>
      </c>
      <c r="K464" s="24" t="n">
        <f aca="false">K444*Assumptions!$F$47*3/100</f>
        <v>2.1796452</v>
      </c>
      <c r="L464" s="56" t="n">
        <f aca="false">SUM(D464:K464)</f>
        <v>9.31424178214286</v>
      </c>
    </row>
    <row r="465" customFormat="false" ht="15" hidden="false" customHeight="false" outlineLevel="0" collapsed="false">
      <c r="A465" s="41" t="n">
        <v>62</v>
      </c>
      <c r="B465" s="21" t="s">
        <v>344</v>
      </c>
      <c r="C465" s="11" t="s">
        <v>275</v>
      </c>
      <c r="D465" s="24" t="n">
        <f aca="false">D445*Assumptions!$F$48*90*Assumptions!$F$49/100</f>
        <v>0.084466071</v>
      </c>
      <c r="E465" s="24" t="n">
        <f aca="false">E445*Assumptions!$F$48*90*Assumptions!$F$49/100</f>
        <v>0.263121858</v>
      </c>
      <c r="F465" s="24" t="n">
        <f aca="false">F445*Assumptions!$F$48*90*Assumptions!$F$49/100</f>
        <v>0.54572454</v>
      </c>
      <c r="G465" s="24" t="n">
        <f aca="false">G445*Assumptions!$F$48*90*Assumptions!$F$49/100</f>
        <v>0.848175705</v>
      </c>
      <c r="H465" s="24" t="n">
        <f aca="false">H445*Assumptions!$F$48*90*Assumptions!$F$49/100</f>
        <v>1.170542421</v>
      </c>
      <c r="I465" s="24" t="n">
        <f aca="false">I445*Assumptions!$F$48*90*Assumptions!$F$49/100</f>
        <v>1.412720595</v>
      </c>
      <c r="J465" s="24" t="n">
        <f aca="false">J445*Assumptions!$F$48*90*Assumptions!$F$49/100</f>
        <v>1.668309939</v>
      </c>
      <c r="K465" s="24" t="n">
        <f aca="false">K445*Assumptions!$F$48*90*Assumptions!$F$49/100</f>
        <v>1.830901968</v>
      </c>
      <c r="L465" s="56" t="n">
        <f aca="false">SUM(D465:K465)</f>
        <v>7.823963097</v>
      </c>
    </row>
    <row r="466" customFormat="false" ht="15" hidden="false" customHeight="false" outlineLevel="0" collapsed="false">
      <c r="A466" s="41" t="n">
        <v>63</v>
      </c>
      <c r="B466" s="21" t="s">
        <v>345</v>
      </c>
      <c r="C466" s="11" t="s">
        <v>275</v>
      </c>
      <c r="D466" s="24" t="n">
        <f aca="false">D440*Assumptions!$F$50*3/100</f>
        <v>0.0238564285714286</v>
      </c>
      <c r="E466" s="24" t="n">
        <f aca="false">E440*Assumptions!$F$50*3/100</f>
        <v>0.0742307142857143</v>
      </c>
      <c r="F466" s="24" t="n">
        <f aca="false">F440*Assumptions!$F$50*3/100</f>
        <v>0.153784285714286</v>
      </c>
      <c r="G466" s="24" t="n">
        <f aca="false">G440*Assumptions!$F$50*3/100</f>
        <v>0.238660714285714</v>
      </c>
      <c r="H466" s="24" t="n">
        <f aca="false">H440*Assumptions!$F$50*3/100</f>
        <v>0.32886</v>
      </c>
      <c r="I466" s="24" t="n">
        <f aca="false">I440*Assumptions!$F$50*3/100</f>
        <v>0.39609</v>
      </c>
      <c r="J466" s="24" t="n">
        <f aca="false">J440*Assumptions!$F$50*3/100</f>
        <v>0.466868571428571</v>
      </c>
      <c r="K466" s="24" t="n">
        <f aca="false">K440*Assumptions!$F$50*3/100</f>
        <v>0.511129285714286</v>
      </c>
      <c r="L466" s="56" t="n">
        <f aca="false">SUM(D466:K466)</f>
        <v>2.19348</v>
      </c>
    </row>
    <row r="467" customFormat="false" ht="15" hidden="false" customHeight="false" outlineLevel="0" collapsed="false">
      <c r="A467" s="41" t="n">
        <v>64</v>
      </c>
      <c r="B467" s="21" t="s">
        <v>346</v>
      </c>
      <c r="C467" s="11" t="s">
        <v>275</v>
      </c>
      <c r="D467" s="24" t="n">
        <f aca="false">D444*Assumptions!$F$51*3/100</f>
        <v>0.0536292514285714</v>
      </c>
      <c r="E467" s="24" t="n">
        <f aca="false">E444*Assumptions!$F$51*3/100</f>
        <v>0.167061497142857</v>
      </c>
      <c r="F467" s="24" t="n">
        <f aca="false">F444*Assumptions!$F$51*3/100</f>
        <v>0.346491771428571</v>
      </c>
      <c r="G467" s="24" t="n">
        <f aca="false">G444*Assumptions!$F$51*3/100</f>
        <v>0.538524257142857</v>
      </c>
      <c r="H467" s="24" t="n">
        <f aca="false">H444*Assumptions!$F$51*3/100</f>
        <v>0.743201537142857</v>
      </c>
      <c r="I467" s="24" t="n">
        <f aca="false">I444*Assumptions!$F$51*3/100</f>
        <v>0.896965457142857</v>
      </c>
      <c r="J467" s="24" t="n">
        <f aca="false">J444*Assumptions!$F$51*3/100</f>
        <v>1.05924440571429</v>
      </c>
      <c r="K467" s="24" t="n">
        <f aca="false">K444*Assumptions!$F$51*3/100</f>
        <v>1.16247744</v>
      </c>
      <c r="L467" s="56" t="n">
        <f aca="false">SUM(D467:K467)</f>
        <v>4.96759561714286</v>
      </c>
    </row>
    <row r="468" customFormat="false" ht="15" hidden="false" customHeight="false" outlineLevel="0" collapsed="false">
      <c r="A468" s="41" t="n">
        <v>65</v>
      </c>
      <c r="B468" s="21" t="s">
        <v>347</v>
      </c>
      <c r="C468" s="11" t="s">
        <v>275</v>
      </c>
      <c r="D468" s="24" t="n">
        <f aca="false">D441*(Assumptions!$F$52+Assumptions!$F$53*Assumptions!$F$15)/100</f>
        <v>0.302181428571429</v>
      </c>
      <c r="E468" s="24" t="n">
        <f aca="false">E441*(Assumptions!$F$52+Assumptions!$F$53*Assumptions!$F$15)/100</f>
        <v>0.638074285714286</v>
      </c>
      <c r="F468" s="24" t="n">
        <f aca="false">F441*(Assumptions!$F$52+Assumptions!$F$53*Assumptions!$F$15)/100</f>
        <v>1.00767857142857</v>
      </c>
      <c r="G468" s="24" t="n">
        <f aca="false">G441*(Assumptions!$F$52+Assumptions!$F$53*Assumptions!$F$15)/100</f>
        <v>1.07510142857143</v>
      </c>
      <c r="H468" s="24" t="n">
        <f aca="false">H441*(Assumptions!$F$52+Assumptions!$F$53*Assumptions!$F$15)/100</f>
        <v>1.14252428571429</v>
      </c>
      <c r="I468" s="24" t="n">
        <f aca="false">I441*(Assumptions!$F$52+Assumptions!$F$53*Assumptions!$F$15)/100</f>
        <v>0.851579999999998</v>
      </c>
      <c r="J468" s="24" t="n">
        <f aca="false">J441*(Assumptions!$F$52+Assumptions!$F$53*Assumptions!$F$15)/100</f>
        <v>0.896528571428573</v>
      </c>
      <c r="K468" s="24" t="n">
        <f aca="false">K441*(Assumptions!$F$52+Assumptions!$F$53*Assumptions!$F$15)/100</f>
        <v>0.560635714285715</v>
      </c>
      <c r="L468" s="56" t="n">
        <f aca="false">SUM(D468:K468)</f>
        <v>6.47430428571429</v>
      </c>
    </row>
    <row r="469" customFormat="false" ht="15" hidden="false" customHeight="false" outlineLevel="0" collapsed="false">
      <c r="A469" s="41" t="n">
        <v>66</v>
      </c>
      <c r="B469" s="21" t="s">
        <v>348</v>
      </c>
      <c r="C469" s="11" t="s">
        <v>275</v>
      </c>
      <c r="D469" s="24" t="n">
        <f aca="false">D448*Assumptions!$F$39</f>
        <v>0.2404728</v>
      </c>
      <c r="E469" s="24" t="n">
        <f aca="false">E448*Assumptions!$F$39</f>
        <v>0.7482456</v>
      </c>
      <c r="F469" s="24" t="n">
        <f aca="false">F448*Assumptions!$F$39</f>
        <v>1.5501456</v>
      </c>
      <c r="G469" s="24" t="n">
        <f aca="false">G448*Assumptions!$F$39</f>
        <v>2.4057</v>
      </c>
      <c r="H469" s="24" t="n">
        <f aca="false">H448*Assumptions!$F$39</f>
        <v>3.3149088</v>
      </c>
      <c r="I469" s="24" t="n">
        <f aca="false">I448*Assumptions!$F$39</f>
        <v>3.9925872</v>
      </c>
      <c r="J469" s="24" t="n">
        <f aca="false">J448*Assumptions!$F$39</f>
        <v>4.7060352</v>
      </c>
      <c r="K469" s="24" t="n">
        <f aca="false">K448*Assumptions!$F$39</f>
        <v>5.1521832</v>
      </c>
      <c r="L469" s="56" t="n">
        <f aca="false">SUM(D469:K469)</f>
        <v>22.1102784</v>
      </c>
    </row>
    <row r="470" customFormat="false" ht="15" hidden="false" customHeight="false" outlineLevel="0" collapsed="false">
      <c r="A470" s="41" t="n">
        <v>67</v>
      </c>
      <c r="B470" s="21" t="s">
        <v>349</v>
      </c>
      <c r="C470" s="11" t="s">
        <v>275</v>
      </c>
      <c r="D470" s="24" t="n">
        <f aca="false">D448*Assumptions!$F$40</f>
        <v>0</v>
      </c>
      <c r="E470" s="24" t="n">
        <f aca="false">E448*Assumptions!$F$40</f>
        <v>0</v>
      </c>
      <c r="F470" s="24" t="n">
        <f aca="false">F448*Assumptions!$F$40</f>
        <v>0</v>
      </c>
      <c r="G470" s="24" t="n">
        <f aca="false">G448*Assumptions!$F$40</f>
        <v>0</v>
      </c>
      <c r="H470" s="24" t="n">
        <f aca="false">H448*Assumptions!$F$40</f>
        <v>0</v>
      </c>
      <c r="I470" s="24" t="n">
        <f aca="false">I448*Assumptions!$F$40</f>
        <v>0</v>
      </c>
      <c r="J470" s="24" t="n">
        <f aca="false">J448*Assumptions!$F$40</f>
        <v>0</v>
      </c>
      <c r="K470" s="24" t="n">
        <f aca="false">K448*Assumptions!$F$40</f>
        <v>0</v>
      </c>
      <c r="L470" s="56" t="n">
        <f aca="false">SUM(D470:K470)</f>
        <v>0</v>
      </c>
    </row>
    <row r="471" customFormat="false" ht="15" hidden="false" customHeight="false" outlineLevel="0" collapsed="false">
      <c r="A471" s="41" t="n">
        <v>68</v>
      </c>
      <c r="B471" s="21" t="s">
        <v>350</v>
      </c>
      <c r="C471" s="11" t="s">
        <v>275</v>
      </c>
      <c r="D471" s="24" t="n">
        <f aca="false">SUM(D464:D470)</f>
        <v>0.805160826</v>
      </c>
      <c r="E471" s="24" t="n">
        <f aca="false">SUM(E464:E470)</f>
        <v>2.20397426228571</v>
      </c>
      <c r="F471" s="24" t="n">
        <f aca="false">SUM(F464:F470)</f>
        <v>4.25349684</v>
      </c>
      <c r="G471" s="24" t="n">
        <f aca="false">SUM(G464:G470)</f>
        <v>6.11589508714286</v>
      </c>
      <c r="H471" s="24" t="n">
        <f aca="false">SUM(H464:H470)</f>
        <v>8.093539926</v>
      </c>
      <c r="I471" s="24" t="n">
        <f aca="false">SUM(I464:I470)</f>
        <v>9.23175348428571</v>
      </c>
      <c r="J471" s="24" t="n">
        <f aca="false">SUM(J464:J470)</f>
        <v>10.7830699482857</v>
      </c>
      <c r="K471" s="24" t="n">
        <f aca="false">SUM(K464:K470)</f>
        <v>11.396972808</v>
      </c>
      <c r="L471" s="56" t="n">
        <f aca="false">SUM(D471:K471)</f>
        <v>52.883863182</v>
      </c>
    </row>
    <row r="472" customFormat="false" ht="15" hidden="false" customHeight="false" outlineLevel="0" collapsed="false">
      <c r="A472" s="41" t="n">
        <v>69</v>
      </c>
      <c r="B472" s="17" t="s">
        <v>351</v>
      </c>
      <c r="C472" s="11" t="s">
        <v>275</v>
      </c>
      <c r="D472" s="56" t="n">
        <f aca="false">D463-D471</f>
        <v>3.76382256485143</v>
      </c>
      <c r="E472" s="56" t="n">
        <f aca="false">E463-E471</f>
        <v>12.02649386634</v>
      </c>
      <c r="F472" s="56" t="n">
        <f aca="false">F463-F471</f>
        <v>25.2560421834429</v>
      </c>
      <c r="G472" s="56" t="n">
        <f aca="false">G463-G471</f>
        <v>39.7382554742143</v>
      </c>
      <c r="H472" s="56" t="n">
        <f aca="false">H463-H471</f>
        <v>55.17393282288</v>
      </c>
      <c r="I472" s="56" t="n">
        <f aca="false">I463-I471</f>
        <v>67.1024167499571</v>
      </c>
      <c r="J472" s="56" t="n">
        <f aca="false">J463-J471</f>
        <v>79.3366881929486</v>
      </c>
      <c r="K472" s="56" t="n">
        <f aca="false">K463-K471</f>
        <v>87.4710705404829</v>
      </c>
      <c r="L472" s="56" t="n">
        <f aca="false">SUM(D472:K472)</f>
        <v>369.868722395117</v>
      </c>
    </row>
    <row r="473" customFormat="false" ht="15" hidden="false" customHeight="false" outlineLevel="0" collapsed="false">
      <c r="A473" s="46"/>
      <c r="B473" s="47" t="s">
        <v>354</v>
      </c>
      <c r="C473" s="46"/>
      <c r="D473" s="46"/>
      <c r="E473" s="46"/>
      <c r="F473" s="46"/>
      <c r="G473" s="46"/>
      <c r="H473" s="46"/>
      <c r="I473" s="46"/>
      <c r="J473" s="46"/>
      <c r="K473" s="46"/>
      <c r="L473" s="46"/>
    </row>
    <row r="474" customFormat="false" ht="15" hidden="false" customHeight="false" outlineLevel="0" collapsed="false">
      <c r="A474" s="41" t="n">
        <v>70</v>
      </c>
      <c r="B474" s="21" t="s">
        <v>319</v>
      </c>
      <c r="C474" s="11" t="s">
        <v>316</v>
      </c>
      <c r="D474" s="48" t="n">
        <f aca="false">D402*Assumptions!$F$13</f>
        <v>0.530142857142857</v>
      </c>
      <c r="E474" s="48" t="n">
        <f aca="false">E402*Assumptions!$F$13</f>
        <v>0.549857142857143</v>
      </c>
      <c r="F474" s="48" t="n">
        <f aca="false">F402*Assumptions!$F$13</f>
        <v>0.569571428571429</v>
      </c>
      <c r="G474" s="48" t="n">
        <f aca="false">G402*Assumptions!$F$13</f>
        <v>0.589285714285714</v>
      </c>
      <c r="H474" s="48" t="n">
        <f aca="false">H402*Assumptions!$F$13</f>
        <v>0.609</v>
      </c>
      <c r="I474" s="48" t="n">
        <f aca="false">I402*Assumptions!$F$13</f>
        <v>0.628714285714286</v>
      </c>
      <c r="J474" s="48" t="n">
        <f aca="false">J402*Assumptions!$F$13</f>
        <v>0.648428571428572</v>
      </c>
      <c r="K474" s="48" t="n">
        <f aca="false">K402*Assumptions!$F$13</f>
        <v>0.668142857142857</v>
      </c>
      <c r="L474" s="49" t="n">
        <f aca="false">K474</f>
        <v>0.668142857142857</v>
      </c>
    </row>
    <row r="475" customFormat="false" ht="15" hidden="false" customHeight="false" outlineLevel="0" collapsed="false">
      <c r="A475" s="41" t="n">
        <v>71</v>
      </c>
      <c r="B475" s="21" t="s">
        <v>320</v>
      </c>
      <c r="C475" s="11" t="s">
        <v>316</v>
      </c>
      <c r="D475" s="50" t="n">
        <f aca="false">D474*D403*Assumptions!$F$21</f>
        <v>0.00318085714285714</v>
      </c>
      <c r="E475" s="50" t="n">
        <f aca="false">E474*E403*Assumptions!$F$21</f>
        <v>0.00989742857142857</v>
      </c>
      <c r="F475" s="50" t="n">
        <f aca="false">F474*F403*Assumptions!$F$21</f>
        <v>0.0205045714285714</v>
      </c>
      <c r="G475" s="50" t="n">
        <f aca="false">G474*G403*Assumptions!$F$21</f>
        <v>0.0318214285714286</v>
      </c>
      <c r="H475" s="50" t="n">
        <f aca="false">H474*H403*Assumptions!$F$21</f>
        <v>0.043848</v>
      </c>
      <c r="I475" s="50" t="n">
        <f aca="false">I474*I403*Assumptions!$F$21</f>
        <v>0.052812</v>
      </c>
      <c r="J475" s="50" t="n">
        <f aca="false">J474*J403*Assumptions!$F$21</f>
        <v>0.0622491428571429</v>
      </c>
      <c r="K475" s="50" t="n">
        <f aca="false">K474*K403*Assumptions!$F$21</f>
        <v>0.0681505714285714</v>
      </c>
      <c r="L475" s="51" t="n">
        <f aca="false">K475</f>
        <v>0.0681505714285714</v>
      </c>
    </row>
    <row r="476" customFormat="false" ht="15" hidden="false" customHeight="false" outlineLevel="0" collapsed="false">
      <c r="A476" s="41" t="n">
        <v>72</v>
      </c>
      <c r="B476" s="21" t="s">
        <v>321</v>
      </c>
      <c r="C476" s="11" t="s">
        <v>316</v>
      </c>
      <c r="D476" s="50" t="n">
        <f aca="false">MAX(0,D475-N(C475))</f>
        <v>0.00318085714285714</v>
      </c>
      <c r="E476" s="50" t="n">
        <f aca="false">MAX(0,E475-N(D475))</f>
        <v>0.00671657142857143</v>
      </c>
      <c r="F476" s="50" t="n">
        <f aca="false">MAX(0,F475-N(E475))</f>
        <v>0.0106071428571429</v>
      </c>
      <c r="G476" s="50" t="n">
        <f aca="false">MAX(0,G475-N(F475))</f>
        <v>0.0113168571428571</v>
      </c>
      <c r="H476" s="50" t="n">
        <f aca="false">MAX(0,H475-N(G475))</f>
        <v>0.0120265714285714</v>
      </c>
      <c r="I476" s="50" t="n">
        <f aca="false">MAX(0,I475-N(H475))</f>
        <v>0.00896399999999999</v>
      </c>
      <c r="J476" s="50" t="n">
        <f aca="false">MAX(0,J475-N(I475))</f>
        <v>0.00943714285714287</v>
      </c>
      <c r="K476" s="50" t="n">
        <f aca="false">MAX(0,K475-N(J475))</f>
        <v>0.00590142857142856</v>
      </c>
      <c r="L476" s="52" t="n">
        <f aca="false">SUM(D476:K476)</f>
        <v>0.0681505714285714</v>
      </c>
    </row>
    <row r="477" customFormat="false" ht="15" hidden="false" customHeight="false" outlineLevel="0" collapsed="false">
      <c r="A477" s="41" t="n">
        <v>73</v>
      </c>
      <c r="B477" s="21" t="s">
        <v>322</v>
      </c>
      <c r="C477" s="11" t="s">
        <v>316</v>
      </c>
      <c r="D477" s="50" t="n">
        <f aca="false">D475*Assumptions!$F$16</f>
        <v>0.0381702857142857</v>
      </c>
      <c r="E477" s="50" t="n">
        <f aca="false">E475*Assumptions!$F$16</f>
        <v>0.118769142857143</v>
      </c>
      <c r="F477" s="50" t="n">
        <f aca="false">F475*Assumptions!$F$16</f>
        <v>0.246054857142857</v>
      </c>
      <c r="G477" s="50" t="n">
        <f aca="false">G475*Assumptions!$F$16</f>
        <v>0.381857142857143</v>
      </c>
      <c r="H477" s="50" t="n">
        <f aca="false">H475*Assumptions!$F$16</f>
        <v>0.526176</v>
      </c>
      <c r="I477" s="50" t="n">
        <f aca="false">I475*Assumptions!$F$16</f>
        <v>0.633744</v>
      </c>
      <c r="J477" s="50" t="n">
        <f aca="false">J475*Assumptions!$F$16</f>
        <v>0.746989714285714</v>
      </c>
      <c r="K477" s="50" t="n">
        <f aca="false">K475*Assumptions!$F$16</f>
        <v>0.817806857142857</v>
      </c>
      <c r="L477" s="51" t="n">
        <f aca="false">K477</f>
        <v>0.817806857142857</v>
      </c>
    </row>
    <row r="478" customFormat="false" ht="15" hidden="false" customHeight="false" outlineLevel="0" collapsed="false">
      <c r="A478" s="41" t="n">
        <v>74</v>
      </c>
      <c r="B478" s="21" t="s">
        <v>323</v>
      </c>
      <c r="C478" s="11" t="s">
        <v>316</v>
      </c>
      <c r="D478" s="50" t="n">
        <f aca="false">N(C478)+D475*Assumptions!$F$23/100/4</f>
        <v>3.18085714285714E-005</v>
      </c>
      <c r="E478" s="50" t="n">
        <f aca="false">N(D478)+E475*Assumptions!$F$23/100/4</f>
        <v>0.000130782857142857</v>
      </c>
      <c r="F478" s="50" t="n">
        <f aca="false">N(E478)+F475*Assumptions!$F$23/100/4</f>
        <v>0.000335828571428572</v>
      </c>
      <c r="G478" s="50" t="n">
        <f aca="false">N(F478)+G475*Assumptions!$F$23/100/4</f>
        <v>0.000654042857142857</v>
      </c>
      <c r="H478" s="50" t="n">
        <f aca="false">N(G478)+H475*Assumptions!$F$23/100/4</f>
        <v>0.00109252285714286</v>
      </c>
      <c r="I478" s="50" t="n">
        <f aca="false">N(H478)+I475*Assumptions!$F$23/100/4</f>
        <v>0.00162064285714286</v>
      </c>
      <c r="J478" s="50" t="n">
        <f aca="false">N(I478)+J475*Assumptions!$F$23/100/4</f>
        <v>0.00224313428571429</v>
      </c>
      <c r="K478" s="50" t="n">
        <f aca="false">N(J478)+K475*Assumptions!$F$23/100/4</f>
        <v>0.00292464</v>
      </c>
      <c r="L478" s="51" t="n">
        <f aca="false">K478</f>
        <v>0.00292464</v>
      </c>
    </row>
    <row r="479" customFormat="false" ht="15" hidden="false" customHeight="false" outlineLevel="0" collapsed="false">
      <c r="A479" s="41" t="n">
        <v>75</v>
      </c>
      <c r="B479" s="21" t="s">
        <v>324</v>
      </c>
      <c r="C479" s="11" t="s">
        <v>316</v>
      </c>
      <c r="D479" s="50" t="n">
        <f aca="false">D477+D478</f>
        <v>0.0382020942857143</v>
      </c>
      <c r="E479" s="50" t="n">
        <f aca="false">E477+E478</f>
        <v>0.118899925714286</v>
      </c>
      <c r="F479" s="50" t="n">
        <f aca="false">F477+F478</f>
        <v>0.246390685714286</v>
      </c>
      <c r="G479" s="50" t="n">
        <f aca="false">G477+G478</f>
        <v>0.382511185714286</v>
      </c>
      <c r="H479" s="50" t="n">
        <f aca="false">H477+H478</f>
        <v>0.527268522857143</v>
      </c>
      <c r="I479" s="50" t="n">
        <f aca="false">I477+I478</f>
        <v>0.635364642857143</v>
      </c>
      <c r="J479" s="50" t="n">
        <f aca="false">J477+J478</f>
        <v>0.749232848571429</v>
      </c>
      <c r="K479" s="50" t="n">
        <f aca="false">K477+K478</f>
        <v>0.820731497142857</v>
      </c>
      <c r="L479" s="51" t="n">
        <f aca="false">K479</f>
        <v>0.820731497142857</v>
      </c>
    </row>
    <row r="480" customFormat="false" ht="15" hidden="false" customHeight="false" outlineLevel="0" collapsed="false">
      <c r="A480" s="41" t="n">
        <v>76</v>
      </c>
      <c r="B480" s="21" t="s">
        <v>325</v>
      </c>
      <c r="C480" s="11" t="s">
        <v>316</v>
      </c>
      <c r="D480" s="50" t="n">
        <f aca="false">D479*Assumptions!$F$31</f>
        <v>0.026741466</v>
      </c>
      <c r="E480" s="50" t="n">
        <f aca="false">E479*Assumptions!$F$31</f>
        <v>0.083229948</v>
      </c>
      <c r="F480" s="50" t="n">
        <f aca="false">F479*Assumptions!$F$31</f>
        <v>0.17247348</v>
      </c>
      <c r="G480" s="50" t="n">
        <f aca="false">G479*Assumptions!$F$31</f>
        <v>0.26775783</v>
      </c>
      <c r="H480" s="50" t="n">
        <f aca="false">H479*Assumptions!$F$31</f>
        <v>0.369087966</v>
      </c>
      <c r="I480" s="50" t="n">
        <f aca="false">I479*Assumptions!$F$31</f>
        <v>0.44475525</v>
      </c>
      <c r="J480" s="50" t="n">
        <f aca="false">J479*Assumptions!$F$31</f>
        <v>0.524462994</v>
      </c>
      <c r="K480" s="50" t="n">
        <f aca="false">K479*Assumptions!$F$31</f>
        <v>0.574512048</v>
      </c>
      <c r="L480" s="51" t="n">
        <f aca="false">K480</f>
        <v>0.574512048</v>
      </c>
    </row>
    <row r="481" customFormat="false" ht="15" hidden="false" customHeight="false" outlineLevel="0" collapsed="false">
      <c r="A481" s="41" t="n">
        <v>77</v>
      </c>
      <c r="B481" s="21" t="s">
        <v>355</v>
      </c>
      <c r="C481" s="11" t="s">
        <v>47</v>
      </c>
      <c r="D481" s="34" t="n">
        <f aca="false">MAX(0,MIN(Assumptions!$F$16,10)-5)*Assumptions!$F$26+MAX(0,MIN(Assumptions!$F$16,20)-10)*Assumptions!$F$27+MAX(0,Assumptions!$F$16-20)*Assumptions!$F$28</f>
        <v>593</v>
      </c>
      <c r="E481" s="34" t="n">
        <f aca="false">MAX(0,MIN(Assumptions!$F$16,10)-5)*Assumptions!$F$26+MAX(0,MIN(Assumptions!$F$16,20)-10)*Assumptions!$F$27+MAX(0,Assumptions!$F$16-20)*Assumptions!$F$28</f>
        <v>593</v>
      </c>
      <c r="F481" s="34" t="n">
        <f aca="false">MAX(0,MIN(Assumptions!$F$16,10)-5)*Assumptions!$F$26+MAX(0,MIN(Assumptions!$F$16,20)-10)*Assumptions!$F$27+MAX(0,Assumptions!$F$16-20)*Assumptions!$F$28</f>
        <v>593</v>
      </c>
      <c r="G481" s="34" t="n">
        <f aca="false">MAX(0,MIN(Assumptions!$F$16,10)-5)*Assumptions!$F$26+MAX(0,MIN(Assumptions!$F$16,20)-10)*Assumptions!$F$27+MAX(0,Assumptions!$F$16-20)*Assumptions!$F$28</f>
        <v>593</v>
      </c>
      <c r="H481" s="34" t="n">
        <f aca="false">MAX(0,MIN(Assumptions!$F$16,10)-5)*Assumptions!$F$26+MAX(0,MIN(Assumptions!$F$16,20)-10)*Assumptions!$F$27+MAX(0,Assumptions!$F$16-20)*Assumptions!$F$28</f>
        <v>593</v>
      </c>
      <c r="I481" s="34" t="n">
        <f aca="false">MAX(0,MIN(Assumptions!$F$16,10)-5)*Assumptions!$F$26+MAX(0,MIN(Assumptions!$F$16,20)-10)*Assumptions!$F$27+MAX(0,Assumptions!$F$16-20)*Assumptions!$F$28</f>
        <v>593</v>
      </c>
      <c r="J481" s="34" t="n">
        <f aca="false">MAX(0,MIN(Assumptions!$F$16,10)-5)*Assumptions!$F$26+MAX(0,MIN(Assumptions!$F$16,20)-10)*Assumptions!$F$27+MAX(0,Assumptions!$F$16-20)*Assumptions!$F$28</f>
        <v>593</v>
      </c>
      <c r="K481" s="34" t="n">
        <f aca="false">MAX(0,MIN(Assumptions!$F$16,10)-5)*Assumptions!$F$26+MAX(0,MIN(Assumptions!$F$16,20)-10)*Assumptions!$F$27+MAX(0,Assumptions!$F$16-20)*Assumptions!$F$28</f>
        <v>593</v>
      </c>
      <c r="L481" s="57" t="n">
        <f aca="false">K481</f>
        <v>593</v>
      </c>
    </row>
    <row r="482" customFormat="false" ht="15" hidden="false" customHeight="false" outlineLevel="0" collapsed="false">
      <c r="A482" s="41" t="n">
        <v>78</v>
      </c>
      <c r="B482" s="21" t="s">
        <v>326</v>
      </c>
      <c r="C482" s="11" t="s">
        <v>316</v>
      </c>
      <c r="D482" s="50" t="n">
        <f aca="false">D475*Assumptions!$F$35</f>
        <v>0.00190851428571429</v>
      </c>
      <c r="E482" s="50" t="n">
        <f aca="false">E475*Assumptions!$F$35</f>
        <v>0.00593845714285714</v>
      </c>
      <c r="F482" s="50" t="n">
        <f aca="false">F475*Assumptions!$F$35</f>
        <v>0.0123027428571429</v>
      </c>
      <c r="G482" s="50" t="n">
        <f aca="false">G475*Assumptions!$F$35</f>
        <v>0.0190928571428571</v>
      </c>
      <c r="H482" s="50" t="n">
        <f aca="false">H475*Assumptions!$F$35</f>
        <v>0.0263088</v>
      </c>
      <c r="I482" s="50" t="n">
        <f aca="false">I475*Assumptions!$F$35</f>
        <v>0.0316872</v>
      </c>
      <c r="J482" s="50" t="n">
        <f aca="false">J475*Assumptions!$F$35</f>
        <v>0.0373494857142857</v>
      </c>
      <c r="K482" s="50" t="n">
        <f aca="false">K475*Assumptions!$F$35</f>
        <v>0.0408903428571429</v>
      </c>
      <c r="L482" s="51" t="n">
        <f aca="false">K482</f>
        <v>0.0408903428571429</v>
      </c>
    </row>
    <row r="483" customFormat="false" ht="15" hidden="false" customHeight="false" outlineLevel="0" collapsed="false">
      <c r="A483" s="41" t="n">
        <v>79</v>
      </c>
      <c r="B483" s="21" t="s">
        <v>327</v>
      </c>
      <c r="C483" s="11" t="s">
        <v>316</v>
      </c>
      <c r="D483" s="50" t="n">
        <f aca="false">D482*Assumptions!$F$36/4</f>
        <v>0.00143138571428571</v>
      </c>
      <c r="E483" s="50" t="n">
        <f aca="false">E482*Assumptions!$F$36/4</f>
        <v>0.00445384285714286</v>
      </c>
      <c r="F483" s="50" t="n">
        <f aca="false">F482*Assumptions!$F$36/4</f>
        <v>0.00922705714285714</v>
      </c>
      <c r="G483" s="50" t="n">
        <f aca="false">G482*Assumptions!$F$36/4</f>
        <v>0.0143196428571429</v>
      </c>
      <c r="H483" s="50" t="n">
        <f aca="false">H482*Assumptions!$F$36/4</f>
        <v>0.0197316</v>
      </c>
      <c r="I483" s="50" t="n">
        <f aca="false">I482*Assumptions!$F$36/4</f>
        <v>0.0237654</v>
      </c>
      <c r="J483" s="50" t="n">
        <f aca="false">J482*Assumptions!$F$36/4</f>
        <v>0.0280121142857143</v>
      </c>
      <c r="K483" s="50" t="n">
        <f aca="false">K482*Assumptions!$F$36/4</f>
        <v>0.0306677571428571</v>
      </c>
      <c r="L483" s="52" t="n">
        <f aca="false">SUM(D483:K483)</f>
        <v>0.1316088</v>
      </c>
    </row>
    <row r="484" customFormat="false" ht="15" hidden="false" customHeight="false" outlineLevel="0" collapsed="false">
      <c r="A484" s="41" t="n">
        <v>80</v>
      </c>
      <c r="B484" s="21" t="s">
        <v>328</v>
      </c>
      <c r="C484" s="11" t="s">
        <v>275</v>
      </c>
      <c r="D484" s="53" t="n">
        <f aca="false">D483*Assumptions!$F$37*Assumptions!$F$16/100</f>
        <v>20.6119542857143</v>
      </c>
      <c r="E484" s="53" t="n">
        <f aca="false">E483*Assumptions!$F$37*Assumptions!$F$16/100</f>
        <v>64.1353371428571</v>
      </c>
      <c r="F484" s="53" t="n">
        <f aca="false">F483*Assumptions!$F$37*Assumptions!$F$16/100</f>
        <v>132.869622857143</v>
      </c>
      <c r="G484" s="53" t="n">
        <f aca="false">G483*Assumptions!$F$37*Assumptions!$F$16/100</f>
        <v>206.202857142857</v>
      </c>
      <c r="H484" s="53" t="n">
        <f aca="false">H483*Assumptions!$F$37*Assumptions!$F$16/100</f>
        <v>284.13504</v>
      </c>
      <c r="I484" s="53" t="n">
        <f aca="false">I483*Assumptions!$F$37*Assumptions!$F$16/100</f>
        <v>342.22176</v>
      </c>
      <c r="J484" s="53" t="n">
        <f aca="false">J483*Assumptions!$F$37*Assumptions!$F$16/100</f>
        <v>403.374445714286</v>
      </c>
      <c r="K484" s="53" t="n">
        <f aca="false">K483*Assumptions!$F$37*Assumptions!$F$16/100</f>
        <v>441.615702857143</v>
      </c>
      <c r="L484" s="54" t="n">
        <f aca="false">SUM(D484:K484)</f>
        <v>1895.16672</v>
      </c>
    </row>
    <row r="485" customFormat="false" ht="15" hidden="false" customHeight="false" outlineLevel="0" collapsed="false">
      <c r="A485" s="41" t="n">
        <v>81</v>
      </c>
      <c r="B485" s="21" t="s">
        <v>329</v>
      </c>
      <c r="C485" s="11" t="s">
        <v>275</v>
      </c>
      <c r="D485" s="34" t="n">
        <f aca="false">D477*Assumptions!$F$7*3/100</f>
        <v>148.864114285714</v>
      </c>
      <c r="E485" s="34" t="n">
        <f aca="false">E477*Assumptions!$F$7*3/100</f>
        <v>463.199657142857</v>
      </c>
      <c r="F485" s="34" t="n">
        <f aca="false">F477*Assumptions!$F$7*3/100</f>
        <v>959.613942857143</v>
      </c>
      <c r="G485" s="34" t="n">
        <f aca="false">G477*Assumptions!$F$7*3/100</f>
        <v>1489.24285714286</v>
      </c>
      <c r="H485" s="34" t="n">
        <f aca="false">H477*Assumptions!$F$7*3/100</f>
        <v>2052.0864</v>
      </c>
      <c r="I485" s="34" t="n">
        <f aca="false">I477*Assumptions!$F$7*3/100</f>
        <v>2471.6016</v>
      </c>
      <c r="J485" s="34" t="n">
        <f aca="false">J477*Assumptions!$F$7*3/100</f>
        <v>2913.25988571429</v>
      </c>
      <c r="K485" s="34" t="n">
        <f aca="false">K477*Assumptions!$F$7*3/100</f>
        <v>3189.44674285714</v>
      </c>
      <c r="L485" s="55" t="n">
        <f aca="false">SUM(D485:K485)</f>
        <v>13687.3152</v>
      </c>
    </row>
    <row r="486" customFormat="false" ht="15" hidden="false" customHeight="false" outlineLevel="0" collapsed="false">
      <c r="A486" s="41" t="n">
        <v>82</v>
      </c>
      <c r="B486" s="21" t="s">
        <v>330</v>
      </c>
      <c r="C486" s="11" t="s">
        <v>275</v>
      </c>
      <c r="D486" s="53" t="n">
        <f aca="false">D485*Assumptions!$F$42</f>
        <v>4.46592342857143</v>
      </c>
      <c r="E486" s="53" t="n">
        <f aca="false">E485*Assumptions!$F$42</f>
        <v>13.8959897142857</v>
      </c>
      <c r="F486" s="53" t="n">
        <f aca="false">F485*Assumptions!$F$42</f>
        <v>28.7884182857143</v>
      </c>
      <c r="G486" s="53" t="n">
        <f aca="false">G485*Assumptions!$F$42</f>
        <v>44.6772857142857</v>
      </c>
      <c r="H486" s="53" t="n">
        <f aca="false">H485*Assumptions!$F$42</f>
        <v>61.562592</v>
      </c>
      <c r="I486" s="53" t="n">
        <f aca="false">I485*Assumptions!$F$42</f>
        <v>74.148048</v>
      </c>
      <c r="J486" s="53" t="n">
        <f aca="false">J485*Assumptions!$F$42</f>
        <v>87.3977965714286</v>
      </c>
      <c r="K486" s="53" t="n">
        <f aca="false">K485*Assumptions!$F$42</f>
        <v>95.6834022857143</v>
      </c>
      <c r="L486" s="54" t="n">
        <f aca="false">SUM(D486:K486)</f>
        <v>410.619456</v>
      </c>
    </row>
    <row r="487" customFormat="false" ht="15" hidden="false" customHeight="false" outlineLevel="0" collapsed="false">
      <c r="A487" s="41" t="n">
        <v>83</v>
      </c>
      <c r="B487" s="21" t="s">
        <v>353</v>
      </c>
      <c r="C487" s="11" t="s">
        <v>275</v>
      </c>
      <c r="D487" s="53" t="n">
        <f aca="false">D485*Assumptions!$F$43</f>
        <v>7.44320571428571</v>
      </c>
      <c r="E487" s="53" t="n">
        <f aca="false">E485*Assumptions!$F$43</f>
        <v>23.1599828571429</v>
      </c>
      <c r="F487" s="53" t="n">
        <f aca="false">F485*Assumptions!$F$43</f>
        <v>47.9806971428572</v>
      </c>
      <c r="G487" s="53" t="n">
        <f aca="false">G485*Assumptions!$F$43</f>
        <v>74.4621428571429</v>
      </c>
      <c r="H487" s="53" t="n">
        <f aca="false">H485*Assumptions!$F$43</f>
        <v>102.60432</v>
      </c>
      <c r="I487" s="53" t="n">
        <f aca="false">I485*Assumptions!$F$43</f>
        <v>123.58008</v>
      </c>
      <c r="J487" s="53" t="n">
        <f aca="false">J485*Assumptions!$F$43</f>
        <v>145.662994285714</v>
      </c>
      <c r="K487" s="53" t="n">
        <f aca="false">K485*Assumptions!$F$43</f>
        <v>159.472337142857</v>
      </c>
      <c r="L487" s="54" t="n">
        <f aca="false">SUM(D487:K487)</f>
        <v>684.36576</v>
      </c>
    </row>
    <row r="488" customFormat="false" ht="15" hidden="false" customHeight="false" outlineLevel="0" collapsed="false">
      <c r="A488" s="41" t="n">
        <v>84</v>
      </c>
      <c r="B488" s="21" t="s">
        <v>331</v>
      </c>
      <c r="C488" s="11" t="s">
        <v>275</v>
      </c>
      <c r="D488" s="53" t="n">
        <f aca="false">D480*Assumptions!$F$7*3/100*Assumptions!$F$44</f>
        <v>2.085834348</v>
      </c>
      <c r="E488" s="53" t="n">
        <f aca="false">E480*Assumptions!$F$7*3/100*Assumptions!$F$44</f>
        <v>6.491935944</v>
      </c>
      <c r="F488" s="53" t="n">
        <f aca="false">F480*Assumptions!$F$7*3/100*Assumptions!$F$44</f>
        <v>13.45293144</v>
      </c>
      <c r="G488" s="53" t="n">
        <f aca="false">G480*Assumptions!$F$7*3/100*Assumptions!$F$44</f>
        <v>20.88511074</v>
      </c>
      <c r="H488" s="53" t="n">
        <f aca="false">H480*Assumptions!$F$7*3/100*Assumptions!$F$44</f>
        <v>28.788861348</v>
      </c>
      <c r="I488" s="53" t="n">
        <f aca="false">I480*Assumptions!$F$7*3/100*Assumptions!$F$44</f>
        <v>34.6909095</v>
      </c>
      <c r="J488" s="53" t="n">
        <f aca="false">J480*Assumptions!$F$7*3/100*Assumptions!$F$44</f>
        <v>40.908113532</v>
      </c>
      <c r="K488" s="53" t="n">
        <f aca="false">K480*Assumptions!$F$7*3/100*Assumptions!$F$44</f>
        <v>44.811939744</v>
      </c>
      <c r="L488" s="54" t="n">
        <f aca="false">SUM(D488:K488)</f>
        <v>192.115636596</v>
      </c>
    </row>
    <row r="489" customFormat="false" ht="15" hidden="false" customHeight="false" outlineLevel="0" collapsed="false">
      <c r="A489" s="41" t="n">
        <v>85</v>
      </c>
      <c r="B489" s="21" t="s">
        <v>332</v>
      </c>
      <c r="C489" s="11" t="s">
        <v>316</v>
      </c>
      <c r="D489" s="50" t="n">
        <f aca="false">N(C489)+D479*Assumptions!$F$45/4</f>
        <v>0.000286515707142857</v>
      </c>
      <c r="E489" s="50" t="n">
        <f aca="false">N(D489)+E479*Assumptions!$F$45/4</f>
        <v>0.00117826515</v>
      </c>
      <c r="F489" s="50" t="n">
        <f aca="false">N(E489)+F479*Assumptions!$F$45/4</f>
        <v>0.00302619529285714</v>
      </c>
      <c r="G489" s="50" t="n">
        <f aca="false">N(F489)+G479*Assumptions!$F$45/4</f>
        <v>0.00589502918571429</v>
      </c>
      <c r="H489" s="50" t="n">
        <f aca="false">N(G489)+H479*Assumptions!$F$45/4</f>
        <v>0.00984954310714286</v>
      </c>
      <c r="I489" s="50" t="n">
        <f aca="false">N(H489)+I479*Assumptions!$F$45/4</f>
        <v>0.0146147779285714</v>
      </c>
      <c r="J489" s="50" t="n">
        <f aca="false">N(I489)+J479*Assumptions!$F$45/4</f>
        <v>0.0202340242928571</v>
      </c>
      <c r="K489" s="50" t="n">
        <f aca="false">N(J489)+K479*Assumptions!$F$45/4</f>
        <v>0.0263895105214286</v>
      </c>
      <c r="L489" s="51" t="n">
        <f aca="false">K489</f>
        <v>0.0263895105214286</v>
      </c>
    </row>
    <row r="490" customFormat="false" ht="15" hidden="false" customHeight="false" outlineLevel="0" collapsed="false">
      <c r="A490" s="41" t="n">
        <v>86</v>
      </c>
      <c r="B490" s="21" t="s">
        <v>333</v>
      </c>
      <c r="C490" s="11" t="s">
        <v>275</v>
      </c>
      <c r="D490" s="53" t="n">
        <f aca="false">D489*Assumptions!$F$7*3/100</f>
        <v>1.11741125785714</v>
      </c>
      <c r="E490" s="53" t="n">
        <f aca="false">E489*Assumptions!$F$7*3/100</f>
        <v>4.595234085</v>
      </c>
      <c r="F490" s="53" t="n">
        <f aca="false">F489*Assumptions!$F$7*3/100</f>
        <v>11.8021616421429</v>
      </c>
      <c r="G490" s="53" t="n">
        <f aca="false">G489*Assumptions!$F$7*3/100</f>
        <v>22.9906138242857</v>
      </c>
      <c r="H490" s="53" t="n">
        <f aca="false">H489*Assumptions!$F$7*3/100</f>
        <v>38.4132181178572</v>
      </c>
      <c r="I490" s="53" t="n">
        <f aca="false">I489*Assumptions!$F$7*3/100</f>
        <v>56.9976339214286</v>
      </c>
      <c r="J490" s="53" t="n">
        <f aca="false">J489*Assumptions!$F$7*3/100</f>
        <v>78.9126947421429</v>
      </c>
      <c r="K490" s="53" t="n">
        <f aca="false">K489*Assumptions!$F$7*3/100</f>
        <v>102.919091033571</v>
      </c>
      <c r="L490" s="54" t="n">
        <f aca="false">SUM(D490:K490)</f>
        <v>317.748058624286</v>
      </c>
    </row>
    <row r="491" customFormat="false" ht="15" hidden="false" customHeight="false" outlineLevel="0" collapsed="false">
      <c r="A491" s="41" t="n">
        <v>87</v>
      </c>
      <c r="B491" s="21" t="s">
        <v>334</v>
      </c>
      <c r="C491" s="11" t="s">
        <v>275</v>
      </c>
      <c r="D491" s="53" t="n">
        <f aca="false">D478*Assumptions!$F$7*3/100</f>
        <v>0.124053428571429</v>
      </c>
      <c r="E491" s="53" t="n">
        <f aca="false">E478*Assumptions!$F$7*3/100</f>
        <v>0.510053142857143</v>
      </c>
      <c r="F491" s="53" t="n">
        <f aca="false">F478*Assumptions!$F$7*3/100</f>
        <v>1.30973142857143</v>
      </c>
      <c r="G491" s="53" t="n">
        <f aca="false">G478*Assumptions!$F$7*3/100</f>
        <v>2.55076714285714</v>
      </c>
      <c r="H491" s="53" t="n">
        <f aca="false">H478*Assumptions!$F$7*3/100</f>
        <v>4.26083914285714</v>
      </c>
      <c r="I491" s="53" t="n">
        <f aca="false">I478*Assumptions!$F$7*3/100</f>
        <v>6.32050714285714</v>
      </c>
      <c r="J491" s="53" t="n">
        <f aca="false">J478*Assumptions!$F$7*3/100</f>
        <v>8.74822371428571</v>
      </c>
      <c r="K491" s="53" t="n">
        <f aca="false">K478*Assumptions!$F$7*3/100</f>
        <v>11.406096</v>
      </c>
      <c r="L491" s="54" t="n">
        <f aca="false">SUM(D491:K491)</f>
        <v>35.2302711428571</v>
      </c>
    </row>
    <row r="492" customFormat="false" ht="15" hidden="false" customHeight="false" outlineLevel="0" collapsed="false">
      <c r="A492" s="41" t="n">
        <v>88</v>
      </c>
      <c r="B492" s="21" t="s">
        <v>335</v>
      </c>
      <c r="C492" s="11" t="s">
        <v>275</v>
      </c>
      <c r="D492" s="53" t="n">
        <f aca="false">D486+D488+D490+D491+D487</f>
        <v>15.2364281772857</v>
      </c>
      <c r="E492" s="53" t="n">
        <f aca="false">E486+E488+E490+E491+E487</f>
        <v>48.6531957432857</v>
      </c>
      <c r="F492" s="53" t="n">
        <f aca="false">F486+F488+F490+F491+F487</f>
        <v>103.333939939286</v>
      </c>
      <c r="G492" s="53" t="n">
        <f aca="false">G486+G488+G490+G491+G487</f>
        <v>165.565920278571</v>
      </c>
      <c r="H492" s="53" t="n">
        <f aca="false">H486+H488+H490+H491+H487</f>
        <v>235.629830608714</v>
      </c>
      <c r="I492" s="53" t="n">
        <f aca="false">I486+I488+I490+I491+I487</f>
        <v>295.737178564286</v>
      </c>
      <c r="J492" s="53" t="n">
        <f aca="false">J486+J488+J490+J491+J487</f>
        <v>361.629822845571</v>
      </c>
      <c r="K492" s="53" t="n">
        <f aca="false">K486+K488+K490+K491+K487</f>
        <v>414.292866206143</v>
      </c>
      <c r="L492" s="54" t="n">
        <f aca="false">SUM(D492:K492)</f>
        <v>1640.07918236314</v>
      </c>
    </row>
    <row r="493" customFormat="false" ht="15" hidden="false" customHeight="false" outlineLevel="0" collapsed="false">
      <c r="A493" s="41" t="n">
        <v>89</v>
      </c>
      <c r="B493" s="21" t="s">
        <v>336</v>
      </c>
      <c r="C493" s="11" t="s">
        <v>275</v>
      </c>
      <c r="D493" s="24" t="n">
        <f aca="false">D475*Assumptions!$F$25*3/100</f>
        <v>0.0285322885714286</v>
      </c>
      <c r="E493" s="24" t="n">
        <f aca="false">E475*Assumptions!$F$25*3/100</f>
        <v>0.0887799342857143</v>
      </c>
      <c r="F493" s="24" t="n">
        <f aca="false">F475*Assumptions!$F$25*3/100</f>
        <v>0.183926005714286</v>
      </c>
      <c r="G493" s="24" t="n">
        <f aca="false">G475*Assumptions!$F$25*3/100</f>
        <v>0.285438214285714</v>
      </c>
      <c r="H493" s="24" t="n">
        <f aca="false">H475*Assumptions!$F$25*3/100</f>
        <v>0.39331656</v>
      </c>
      <c r="I493" s="24" t="n">
        <f aca="false">I475*Assumptions!$F$25*3/100</f>
        <v>0.47372364</v>
      </c>
      <c r="J493" s="24" t="n">
        <f aca="false">J475*Assumptions!$F$25*3/100</f>
        <v>0.558374811428572</v>
      </c>
      <c r="K493" s="24" t="n">
        <f aca="false">K475*Assumptions!$F$25*3/100</f>
        <v>0.611310625714286</v>
      </c>
      <c r="L493" s="56" t="n">
        <f aca="false">SUM(D493:K493)</f>
        <v>2.62340208</v>
      </c>
    </row>
    <row r="494" customFormat="false" ht="15" hidden="false" customHeight="false" outlineLevel="0" collapsed="false">
      <c r="A494" s="41" t="n">
        <v>90</v>
      </c>
      <c r="B494" s="21" t="s">
        <v>356</v>
      </c>
      <c r="C494" s="11" t="s">
        <v>275</v>
      </c>
      <c r="D494" s="24" t="n">
        <f aca="false">D475*D481*3/100</f>
        <v>0.0565874485714286</v>
      </c>
      <c r="E494" s="24" t="n">
        <f aca="false">E475*E481*3/100</f>
        <v>0.176075254285714</v>
      </c>
      <c r="F494" s="24" t="n">
        <f aca="false">F475*F481*3/100</f>
        <v>0.364776325714286</v>
      </c>
      <c r="G494" s="24" t="n">
        <f aca="false">G475*G481*3/100</f>
        <v>0.566103214285714</v>
      </c>
      <c r="H494" s="24" t="n">
        <f aca="false">H475*H481*3/100</f>
        <v>0.78005592</v>
      </c>
      <c r="I494" s="24" t="n">
        <f aca="false">I475*I481*3/100</f>
        <v>0.93952548</v>
      </c>
      <c r="J494" s="24" t="n">
        <f aca="false">J475*J481*3/100</f>
        <v>1.10741225142857</v>
      </c>
      <c r="K494" s="24" t="n">
        <f aca="false">K475*K481*3/100</f>
        <v>1.21239866571429</v>
      </c>
      <c r="L494" s="56" t="n">
        <f aca="false">SUM(D494:K494)</f>
        <v>5.20293456</v>
      </c>
    </row>
    <row r="495" customFormat="false" ht="15" hidden="false" customHeight="false" outlineLevel="0" collapsed="false">
      <c r="A495" s="41" t="n">
        <v>91</v>
      </c>
      <c r="B495" s="21" t="s">
        <v>337</v>
      </c>
      <c r="C495" s="11" t="s">
        <v>275</v>
      </c>
      <c r="D495" s="24" t="n">
        <f aca="false">D480*Assumptions!$F$29*3/100</f>
        <v>0.11953435302</v>
      </c>
      <c r="E495" s="24" t="n">
        <f aca="false">E480*Assumptions!$F$29*3/100</f>
        <v>0.37203786756</v>
      </c>
      <c r="F495" s="24" t="n">
        <f aca="false">F480*Assumptions!$F$29*3/100</f>
        <v>0.7709564556</v>
      </c>
      <c r="G495" s="24" t="n">
        <f aca="false">G480*Assumptions!$F$29*3/100</f>
        <v>1.1968775001</v>
      </c>
      <c r="H495" s="24" t="n">
        <f aca="false">H480*Assumptions!$F$29*3/100</f>
        <v>1.64982320802</v>
      </c>
      <c r="I495" s="24" t="n">
        <f aca="false">I480*Assumptions!$F$29*3/100</f>
        <v>1.9880559675</v>
      </c>
      <c r="J495" s="24" t="n">
        <f aca="false">J480*Assumptions!$F$29*3/100</f>
        <v>2.34434958318</v>
      </c>
      <c r="K495" s="24" t="n">
        <f aca="false">K480*Assumptions!$F$29*3/100</f>
        <v>2.56806885456</v>
      </c>
      <c r="L495" s="56" t="n">
        <f aca="false">SUM(D495:K495)</f>
        <v>11.00970378954</v>
      </c>
    </row>
    <row r="496" customFormat="false" ht="15" hidden="false" customHeight="false" outlineLevel="0" collapsed="false">
      <c r="A496" s="41" t="n">
        <v>92</v>
      </c>
      <c r="B496" s="21" t="s">
        <v>338</v>
      </c>
      <c r="C496" s="11" t="s">
        <v>275</v>
      </c>
      <c r="D496" s="24" t="n">
        <f aca="false">D475*Assumptions!$F$33*Assumptions!$F$32*3/100</f>
        <v>0.00426552942857143</v>
      </c>
      <c r="E496" s="24" t="n">
        <f aca="false">E475*Assumptions!$F$33*Assumptions!$F$32*3/100</f>
        <v>0.0132724517142857</v>
      </c>
      <c r="F496" s="24" t="n">
        <f aca="false">F475*Assumptions!$F$33*Assumptions!$F$32*3/100</f>
        <v>0.0274966302857143</v>
      </c>
      <c r="G496" s="24" t="n">
        <f aca="false">G475*Assumptions!$F$33*Assumptions!$F$32*3/100</f>
        <v>0.0426725357142857</v>
      </c>
      <c r="H496" s="24" t="n">
        <f aca="false">H475*Assumptions!$F$33*Assumptions!$F$32*3/100</f>
        <v>0.058800168</v>
      </c>
      <c r="I496" s="24" t="n">
        <f aca="false">I475*Assumptions!$F$33*Assumptions!$F$32*3/100</f>
        <v>0.070820892</v>
      </c>
      <c r="J496" s="24" t="n">
        <f aca="false">J475*Assumptions!$F$33*Assumptions!$F$32*3/100</f>
        <v>0.0834761005714286</v>
      </c>
      <c r="K496" s="24" t="n">
        <f aca="false">K475*Assumptions!$F$33*Assumptions!$F$32*3/100</f>
        <v>0.0913899162857143</v>
      </c>
      <c r="L496" s="56" t="n">
        <f aca="false">SUM(D496:K496)</f>
        <v>0.392194224</v>
      </c>
    </row>
    <row r="497" customFormat="false" ht="15" hidden="false" customHeight="false" outlineLevel="0" collapsed="false">
      <c r="A497" s="41" t="n">
        <v>93</v>
      </c>
      <c r="B497" s="21" t="s">
        <v>339</v>
      </c>
      <c r="C497" s="11" t="s">
        <v>275</v>
      </c>
      <c r="D497" s="24" t="n">
        <f aca="false">D484*Assumptions!$F$38</f>
        <v>0.515298857142857</v>
      </c>
      <c r="E497" s="24" t="n">
        <f aca="false">E484*Assumptions!$F$38</f>
        <v>1.60338342857143</v>
      </c>
      <c r="F497" s="24" t="n">
        <f aca="false">F484*Assumptions!$F$38</f>
        <v>3.32174057142857</v>
      </c>
      <c r="G497" s="24" t="n">
        <f aca="false">G484*Assumptions!$F$38</f>
        <v>5.15507142857143</v>
      </c>
      <c r="H497" s="24" t="n">
        <f aca="false">H484*Assumptions!$F$38</f>
        <v>7.103376</v>
      </c>
      <c r="I497" s="24" t="n">
        <f aca="false">I484*Assumptions!$F$38</f>
        <v>8.555544</v>
      </c>
      <c r="J497" s="24" t="n">
        <f aca="false">J484*Assumptions!$F$38</f>
        <v>10.0843611428571</v>
      </c>
      <c r="K497" s="24" t="n">
        <f aca="false">K484*Assumptions!$F$38</f>
        <v>11.0403925714286</v>
      </c>
      <c r="L497" s="56" t="n">
        <f aca="false">SUM(D497:K497)</f>
        <v>47.379168</v>
      </c>
    </row>
    <row r="498" customFormat="false" ht="15" hidden="false" customHeight="false" outlineLevel="0" collapsed="false">
      <c r="A498" s="41" t="n">
        <v>94</v>
      </c>
      <c r="B498" s="21" t="s">
        <v>340</v>
      </c>
      <c r="C498" s="11" t="s">
        <v>275</v>
      </c>
      <c r="D498" s="24" t="n">
        <f aca="false">D492*Assumptions!$F$6</f>
        <v>0.00609457127091429</v>
      </c>
      <c r="E498" s="24" t="n">
        <f aca="false">E492*Assumptions!$F$6</f>
        <v>0.0194612782973143</v>
      </c>
      <c r="F498" s="24" t="n">
        <f aca="false">F492*Assumptions!$F$6</f>
        <v>0.0413335759757143</v>
      </c>
      <c r="G498" s="24" t="n">
        <f aca="false">G492*Assumptions!$F$6</f>
        <v>0.0662263681114286</v>
      </c>
      <c r="H498" s="24" t="n">
        <f aca="false">H492*Assumptions!$F$6</f>
        <v>0.0942519322434857</v>
      </c>
      <c r="I498" s="24" t="n">
        <f aca="false">I492*Assumptions!$F$6</f>
        <v>0.118294871425714</v>
      </c>
      <c r="J498" s="24" t="n">
        <f aca="false">J492*Assumptions!$F$6</f>
        <v>0.144651929138229</v>
      </c>
      <c r="K498" s="24" t="n">
        <f aca="false">K492*Assumptions!$F$6</f>
        <v>0.165717146482457</v>
      </c>
      <c r="L498" s="56" t="n">
        <f aca="false">SUM(D498:K498)</f>
        <v>0.656031672945257</v>
      </c>
    </row>
    <row r="499" customFormat="false" ht="15" hidden="false" customHeight="false" outlineLevel="0" collapsed="false">
      <c r="A499" s="41" t="n">
        <v>95</v>
      </c>
      <c r="B499" s="21" t="s">
        <v>341</v>
      </c>
      <c r="C499" s="11" t="s">
        <v>275</v>
      </c>
      <c r="D499" s="24" t="n">
        <f aca="false">(D489+D478)*Assumptions!$F$9*3/100</f>
        <v>0.000954972835714286</v>
      </c>
      <c r="E499" s="24" t="n">
        <f aca="false">(E489+E478)*Assumptions!$F$9*3/100</f>
        <v>0.00392714402142857</v>
      </c>
      <c r="F499" s="24" t="n">
        <f aca="false">(F489+F478)*Assumptions!$F$9*3/100</f>
        <v>0.0100860715928571</v>
      </c>
      <c r="G499" s="24" t="n">
        <f aca="false">(G489+G478)*Assumptions!$F$9*3/100</f>
        <v>0.0196472161285714</v>
      </c>
      <c r="H499" s="24" t="n">
        <f aca="false">(H489+H478)*Assumptions!$F$9*3/100</f>
        <v>0.0328261978928571</v>
      </c>
      <c r="I499" s="24" t="n">
        <f aca="false">(I489+I478)*Assumptions!$F$9*3/100</f>
        <v>0.0487062623571429</v>
      </c>
      <c r="J499" s="24" t="n">
        <f aca="false">(J489+J478)*Assumptions!$F$9*3/100</f>
        <v>0.0674314757357143</v>
      </c>
      <c r="K499" s="24" t="n">
        <f aca="false">(K489+K478)*Assumptions!$F$9*3/100</f>
        <v>0.0879424515642857</v>
      </c>
      <c r="L499" s="56" t="n">
        <f aca="false">SUM(D499:K499)</f>
        <v>0.271521792128571</v>
      </c>
    </row>
    <row r="500" customFormat="false" ht="15" hidden="false" customHeight="false" outlineLevel="0" collapsed="false">
      <c r="A500" s="41" t="n">
        <v>96</v>
      </c>
      <c r="B500" s="21" t="s">
        <v>342</v>
      </c>
      <c r="C500" s="11" t="s">
        <v>275</v>
      </c>
      <c r="D500" s="24" t="n">
        <f aca="false">SUM(D493:D499)</f>
        <v>0.731268020840914</v>
      </c>
      <c r="E500" s="24" t="n">
        <f aca="false">SUM(E493:E499)</f>
        <v>2.27693735873589</v>
      </c>
      <c r="F500" s="24" t="n">
        <f aca="false">SUM(F493:F499)</f>
        <v>4.72031563631143</v>
      </c>
      <c r="G500" s="24" t="n">
        <f aca="false">SUM(G493:G499)</f>
        <v>7.33203647719714</v>
      </c>
      <c r="H500" s="24" t="n">
        <f aca="false">SUM(H493:H499)</f>
        <v>10.1124499861563</v>
      </c>
      <c r="I500" s="24" t="n">
        <f aca="false">SUM(I493:I499)</f>
        <v>12.1946711132829</v>
      </c>
      <c r="J500" s="24" t="n">
        <f aca="false">SUM(J493:J499)</f>
        <v>14.3900572943397</v>
      </c>
      <c r="K500" s="24" t="n">
        <f aca="false">SUM(K493:K499)</f>
        <v>15.7772202317496</v>
      </c>
      <c r="L500" s="56" t="n">
        <f aca="false">SUM(D500:K500)</f>
        <v>67.5349561186138</v>
      </c>
    </row>
    <row r="501" customFormat="false" ht="15" hidden="false" customHeight="false" outlineLevel="0" collapsed="false">
      <c r="A501" s="41" t="n">
        <v>97</v>
      </c>
      <c r="B501" s="21" t="s">
        <v>343</v>
      </c>
      <c r="C501" s="11" t="s">
        <v>275</v>
      </c>
      <c r="D501" s="24" t="n">
        <f aca="false">D479*Assumptions!$F$47*3/100</f>
        <v>0.0171909424285714</v>
      </c>
      <c r="E501" s="24" t="n">
        <f aca="false">E479*Assumptions!$F$47*3/100</f>
        <v>0.0535049665714286</v>
      </c>
      <c r="F501" s="24" t="n">
        <f aca="false">F479*Assumptions!$F$47*3/100</f>
        <v>0.110875808571429</v>
      </c>
      <c r="G501" s="24" t="n">
        <f aca="false">G479*Assumptions!$F$47*3/100</f>
        <v>0.172130033571429</v>
      </c>
      <c r="H501" s="24" t="n">
        <f aca="false">H479*Assumptions!$F$47*3/100</f>
        <v>0.237270835285714</v>
      </c>
      <c r="I501" s="24" t="n">
        <f aca="false">I479*Assumptions!$F$47*3/100</f>
        <v>0.285914089285714</v>
      </c>
      <c r="J501" s="24" t="n">
        <f aca="false">J479*Assumptions!$F$47*3/100</f>
        <v>0.337154781857143</v>
      </c>
      <c r="K501" s="24" t="n">
        <f aca="false">K479*Assumptions!$F$47*3/100</f>
        <v>0.369329173714286</v>
      </c>
      <c r="L501" s="56" t="n">
        <f aca="false">SUM(D501:K501)</f>
        <v>1.58337063128571</v>
      </c>
    </row>
    <row r="502" customFormat="false" ht="15" hidden="false" customHeight="false" outlineLevel="0" collapsed="false">
      <c r="A502" s="41" t="n">
        <v>98</v>
      </c>
      <c r="B502" s="21" t="s">
        <v>344</v>
      </c>
      <c r="C502" s="11" t="s">
        <v>275</v>
      </c>
      <c r="D502" s="24" t="n">
        <f aca="false">D480*Assumptions!$F$48*90*Assumptions!$F$49/100</f>
        <v>0.01444039164</v>
      </c>
      <c r="E502" s="24" t="n">
        <f aca="false">E480*Assumptions!$F$48*90*Assumptions!$F$49/100</f>
        <v>0.04494417192</v>
      </c>
      <c r="F502" s="24" t="n">
        <f aca="false">F480*Assumptions!$F$48*90*Assumptions!$F$49/100</f>
        <v>0.0931356792</v>
      </c>
      <c r="G502" s="24" t="n">
        <f aca="false">G480*Assumptions!$F$48*90*Assumptions!$F$49/100</f>
        <v>0.1445892282</v>
      </c>
      <c r="H502" s="24" t="n">
        <f aca="false">H480*Assumptions!$F$48*90*Assumptions!$F$49/100</f>
        <v>0.19930750164</v>
      </c>
      <c r="I502" s="24" t="n">
        <f aca="false">I480*Assumptions!$F$48*90*Assumptions!$F$49/100</f>
        <v>0.240167835</v>
      </c>
      <c r="J502" s="24" t="n">
        <f aca="false">J480*Assumptions!$F$48*90*Assumptions!$F$49/100</f>
        <v>0.28321001676</v>
      </c>
      <c r="K502" s="24" t="n">
        <f aca="false">K480*Assumptions!$F$48*90*Assumptions!$F$49/100</f>
        <v>0.31023650592</v>
      </c>
      <c r="L502" s="56" t="n">
        <f aca="false">SUM(D502:K502)</f>
        <v>1.33003133028</v>
      </c>
    </row>
    <row r="503" customFormat="false" ht="15" hidden="false" customHeight="false" outlineLevel="0" collapsed="false">
      <c r="A503" s="41" t="n">
        <v>99</v>
      </c>
      <c r="B503" s="21" t="s">
        <v>345</v>
      </c>
      <c r="C503" s="11" t="s">
        <v>275</v>
      </c>
      <c r="D503" s="24" t="n">
        <f aca="false">D475*Assumptions!$F$50*3/100</f>
        <v>0.000954257142857143</v>
      </c>
      <c r="E503" s="24" t="n">
        <f aca="false">E475*Assumptions!$F$50*3/100</f>
        <v>0.00296922857142857</v>
      </c>
      <c r="F503" s="24" t="n">
        <f aca="false">F475*Assumptions!$F$50*3/100</f>
        <v>0.00615137142857143</v>
      </c>
      <c r="G503" s="24" t="n">
        <f aca="false">G475*Assumptions!$F$50*3/100</f>
        <v>0.00954642857142857</v>
      </c>
      <c r="H503" s="24" t="n">
        <f aca="false">H475*Assumptions!$F$50*3/100</f>
        <v>0.0131544</v>
      </c>
      <c r="I503" s="24" t="n">
        <f aca="false">I475*Assumptions!$F$50*3/100</f>
        <v>0.0158436</v>
      </c>
      <c r="J503" s="24" t="n">
        <f aca="false">J475*Assumptions!$F$50*3/100</f>
        <v>0.0186747428571429</v>
      </c>
      <c r="K503" s="24" t="n">
        <f aca="false">K475*Assumptions!$F$50*3/100</f>
        <v>0.0204451714285714</v>
      </c>
      <c r="L503" s="56" t="n">
        <f aca="false">SUM(D503:K503)</f>
        <v>0.0877392</v>
      </c>
    </row>
    <row r="504" customFormat="false" ht="15" hidden="false" customHeight="false" outlineLevel="0" collapsed="false">
      <c r="A504" s="41" t="n">
        <v>100</v>
      </c>
      <c r="B504" s="21" t="s">
        <v>346</v>
      </c>
      <c r="C504" s="11" t="s">
        <v>275</v>
      </c>
      <c r="D504" s="24" t="n">
        <f aca="false">D479*Assumptions!$F$51*3/100</f>
        <v>0.00916850262857143</v>
      </c>
      <c r="E504" s="24" t="n">
        <f aca="false">E479*Assumptions!$F$51*3/100</f>
        <v>0.0285359821714286</v>
      </c>
      <c r="F504" s="24" t="n">
        <f aca="false">F479*Assumptions!$F$51*3/100</f>
        <v>0.0591337645714286</v>
      </c>
      <c r="G504" s="24" t="n">
        <f aca="false">G479*Assumptions!$F$51*3/100</f>
        <v>0.0918026845714286</v>
      </c>
      <c r="H504" s="24" t="n">
        <f aca="false">H479*Assumptions!$F$51*3/100</f>
        <v>0.126544445485714</v>
      </c>
      <c r="I504" s="24" t="n">
        <f aca="false">I479*Assumptions!$F$51*3/100</f>
        <v>0.152487514285714</v>
      </c>
      <c r="J504" s="24" t="n">
        <f aca="false">J479*Assumptions!$F$51*3/100</f>
        <v>0.179815883657143</v>
      </c>
      <c r="K504" s="24" t="n">
        <f aca="false">K479*Assumptions!$F$51*3/100</f>
        <v>0.196975559314286</v>
      </c>
      <c r="L504" s="56" t="n">
        <f aca="false">SUM(D504:K504)</f>
        <v>0.844464336685714</v>
      </c>
    </row>
    <row r="505" customFormat="false" ht="15" hidden="false" customHeight="false" outlineLevel="0" collapsed="false">
      <c r="A505" s="41" t="n">
        <v>101</v>
      </c>
      <c r="B505" s="21" t="s">
        <v>347</v>
      </c>
      <c r="C505" s="11" t="s">
        <v>275</v>
      </c>
      <c r="D505" s="24" t="n">
        <f aca="false">D476*(Assumptions!$F$52+Assumptions!$F$53*Assumptions!$F$16)/100</f>
        <v>0.0413511428571429</v>
      </c>
      <c r="E505" s="24" t="n">
        <f aca="false">E476*(Assumptions!$F$52+Assumptions!$F$53*Assumptions!$F$16)/100</f>
        <v>0.0873154285714286</v>
      </c>
      <c r="F505" s="24" t="n">
        <f aca="false">F476*(Assumptions!$F$52+Assumptions!$F$53*Assumptions!$F$16)/100</f>
        <v>0.137892857142857</v>
      </c>
      <c r="G505" s="24" t="n">
        <f aca="false">G476*(Assumptions!$F$52+Assumptions!$F$53*Assumptions!$F$16)/100</f>
        <v>0.147119142857143</v>
      </c>
      <c r="H505" s="24" t="n">
        <f aca="false">H476*(Assumptions!$F$52+Assumptions!$F$53*Assumptions!$F$16)/100</f>
        <v>0.156345428571429</v>
      </c>
      <c r="I505" s="24" t="n">
        <f aca="false">I476*(Assumptions!$F$52+Assumptions!$F$53*Assumptions!$F$16)/100</f>
        <v>0.116532</v>
      </c>
      <c r="J505" s="24" t="n">
        <f aca="false">J476*(Assumptions!$F$52+Assumptions!$F$53*Assumptions!$F$16)/100</f>
        <v>0.122682857142857</v>
      </c>
      <c r="K505" s="24" t="n">
        <f aca="false">K476*(Assumptions!$F$52+Assumptions!$F$53*Assumptions!$F$16)/100</f>
        <v>0.0767185714285713</v>
      </c>
      <c r="L505" s="56" t="n">
        <f aca="false">SUM(D505:K505)</f>
        <v>0.885957428571429</v>
      </c>
    </row>
    <row r="506" customFormat="false" ht="15" hidden="false" customHeight="false" outlineLevel="0" collapsed="false">
      <c r="A506" s="41" t="n">
        <v>102</v>
      </c>
      <c r="B506" s="21" t="s">
        <v>348</v>
      </c>
      <c r="C506" s="11" t="s">
        <v>275</v>
      </c>
      <c r="D506" s="24" t="n">
        <f aca="false">D484*Assumptions!$F$39</f>
        <v>0.0412239085714286</v>
      </c>
      <c r="E506" s="24" t="n">
        <f aca="false">E484*Assumptions!$F$39</f>
        <v>0.128270674285714</v>
      </c>
      <c r="F506" s="24" t="n">
        <f aca="false">F484*Assumptions!$F$39</f>
        <v>0.265739245714286</v>
      </c>
      <c r="G506" s="24" t="n">
        <f aca="false">G484*Assumptions!$F$39</f>
        <v>0.412405714285714</v>
      </c>
      <c r="H506" s="24" t="n">
        <f aca="false">H484*Assumptions!$F$39</f>
        <v>0.56827008</v>
      </c>
      <c r="I506" s="24" t="n">
        <f aca="false">I484*Assumptions!$F$39</f>
        <v>0.68444352</v>
      </c>
      <c r="J506" s="24" t="n">
        <f aca="false">J484*Assumptions!$F$39</f>
        <v>0.806748891428571</v>
      </c>
      <c r="K506" s="24" t="n">
        <f aca="false">K484*Assumptions!$F$39</f>
        <v>0.883231405714286</v>
      </c>
      <c r="L506" s="56" t="n">
        <f aca="false">SUM(D506:K506)</f>
        <v>3.79033344</v>
      </c>
    </row>
    <row r="507" customFormat="false" ht="15" hidden="false" customHeight="false" outlineLevel="0" collapsed="false">
      <c r="A507" s="41" t="n">
        <v>103</v>
      </c>
      <c r="B507" s="21" t="s">
        <v>349</v>
      </c>
      <c r="C507" s="11" t="s">
        <v>275</v>
      </c>
      <c r="D507" s="24" t="n">
        <f aca="false">D484*Assumptions!$F$40</f>
        <v>0</v>
      </c>
      <c r="E507" s="24" t="n">
        <f aca="false">E484*Assumptions!$F$40</f>
        <v>0</v>
      </c>
      <c r="F507" s="24" t="n">
        <f aca="false">F484*Assumptions!$F$40</f>
        <v>0</v>
      </c>
      <c r="G507" s="24" t="n">
        <f aca="false">G484*Assumptions!$F$40</f>
        <v>0</v>
      </c>
      <c r="H507" s="24" t="n">
        <f aca="false">H484*Assumptions!$F$40</f>
        <v>0</v>
      </c>
      <c r="I507" s="24" t="n">
        <f aca="false">I484*Assumptions!$F$40</f>
        <v>0</v>
      </c>
      <c r="J507" s="24" t="n">
        <f aca="false">J484*Assumptions!$F$40</f>
        <v>0</v>
      </c>
      <c r="K507" s="24" t="n">
        <f aca="false">K484*Assumptions!$F$40</f>
        <v>0</v>
      </c>
      <c r="L507" s="56" t="n">
        <f aca="false">SUM(D507:K507)</f>
        <v>0</v>
      </c>
    </row>
    <row r="508" customFormat="false" ht="15" hidden="false" customHeight="false" outlineLevel="0" collapsed="false">
      <c r="A508" s="41" t="n">
        <v>104</v>
      </c>
      <c r="B508" s="21" t="s">
        <v>350</v>
      </c>
      <c r="C508" s="11" t="s">
        <v>275</v>
      </c>
      <c r="D508" s="24" t="n">
        <f aca="false">SUM(D501:D507)</f>
        <v>0.124329145268571</v>
      </c>
      <c r="E508" s="24" t="n">
        <f aca="false">SUM(E501:E507)</f>
        <v>0.345540452091429</v>
      </c>
      <c r="F508" s="24" t="n">
        <f aca="false">SUM(F501:F507)</f>
        <v>0.672928726628572</v>
      </c>
      <c r="G508" s="24" t="n">
        <f aca="false">SUM(G501:G507)</f>
        <v>0.977593232057143</v>
      </c>
      <c r="H508" s="24" t="n">
        <f aca="false">SUM(H501:H507)</f>
        <v>1.30089269098286</v>
      </c>
      <c r="I508" s="24" t="n">
        <f aca="false">SUM(I501:I507)</f>
        <v>1.49538855857143</v>
      </c>
      <c r="J508" s="24" t="n">
        <f aca="false">SUM(J501:J507)</f>
        <v>1.74828717370286</v>
      </c>
      <c r="K508" s="24" t="n">
        <f aca="false">SUM(K501:K507)</f>
        <v>1.85693638752</v>
      </c>
      <c r="L508" s="56" t="n">
        <f aca="false">SUM(D508:K508)</f>
        <v>8.52189636682286</v>
      </c>
    </row>
    <row r="509" customFormat="false" ht="15" hidden="false" customHeight="false" outlineLevel="0" collapsed="false">
      <c r="A509" s="41" t="n">
        <v>105</v>
      </c>
      <c r="B509" s="17" t="s">
        <v>351</v>
      </c>
      <c r="C509" s="11" t="s">
        <v>275</v>
      </c>
      <c r="D509" s="56" t="n">
        <f aca="false">D500-D508</f>
        <v>0.606938875572343</v>
      </c>
      <c r="E509" s="56" t="n">
        <f aca="false">E500-E508</f>
        <v>1.93139690664446</v>
      </c>
      <c r="F509" s="56" t="n">
        <f aca="false">F500-F508</f>
        <v>4.04738690968286</v>
      </c>
      <c r="G509" s="56" t="n">
        <f aca="false">G500-G508</f>
        <v>6.35444324514</v>
      </c>
      <c r="H509" s="56" t="n">
        <f aca="false">H500-H508</f>
        <v>8.81155729517349</v>
      </c>
      <c r="I509" s="56" t="n">
        <f aca="false">I500-I508</f>
        <v>10.6992825547114</v>
      </c>
      <c r="J509" s="56" t="n">
        <f aca="false">J500-J508</f>
        <v>12.6417701206368</v>
      </c>
      <c r="K509" s="56" t="n">
        <f aca="false">K500-K508</f>
        <v>13.9202838442296</v>
      </c>
      <c r="L509" s="56" t="n">
        <f aca="false">SUM(D509:K509)</f>
        <v>59.013059751791</v>
      </c>
    </row>
    <row r="510" customFormat="false" ht="15" hidden="false" customHeight="false" outlineLevel="0" collapsed="false">
      <c r="A510" s="46"/>
      <c r="B510" s="47" t="s">
        <v>357</v>
      </c>
      <c r="C510" s="46"/>
      <c r="D510" s="46"/>
      <c r="E510" s="46"/>
      <c r="F510" s="46"/>
      <c r="G510" s="46"/>
      <c r="H510" s="46"/>
      <c r="I510" s="46"/>
      <c r="J510" s="46"/>
      <c r="K510" s="46"/>
      <c r="L510" s="46"/>
    </row>
    <row r="511" customFormat="false" ht="15" hidden="false" customHeight="false" outlineLevel="0" collapsed="false">
      <c r="A511" s="41" t="n">
        <v>106</v>
      </c>
      <c r="B511" s="21" t="s">
        <v>319</v>
      </c>
      <c r="C511" s="11" t="s">
        <v>316</v>
      </c>
      <c r="D511" s="48" t="n">
        <f aca="false">D402*Assumptions!$F$14</f>
        <v>0.0265071428571429</v>
      </c>
      <c r="E511" s="48" t="n">
        <f aca="false">E402*Assumptions!$F$14</f>
        <v>0.0274928571428571</v>
      </c>
      <c r="F511" s="48" t="n">
        <f aca="false">F402*Assumptions!$F$14</f>
        <v>0.0284785714285714</v>
      </c>
      <c r="G511" s="48" t="n">
        <f aca="false">G402*Assumptions!$F$14</f>
        <v>0.0294642857142857</v>
      </c>
      <c r="H511" s="48" t="n">
        <f aca="false">H402*Assumptions!$F$14</f>
        <v>0.03045</v>
      </c>
      <c r="I511" s="48" t="n">
        <f aca="false">I402*Assumptions!$F$14</f>
        <v>0.0314357142857143</v>
      </c>
      <c r="J511" s="48" t="n">
        <f aca="false">J402*Assumptions!$F$14</f>
        <v>0.0324214285714286</v>
      </c>
      <c r="K511" s="48" t="n">
        <f aca="false">K402*Assumptions!$F$14</f>
        <v>0.0334071428571429</v>
      </c>
      <c r="L511" s="49" t="n">
        <f aca="false">K511</f>
        <v>0.0334071428571429</v>
      </c>
    </row>
    <row r="512" customFormat="false" ht="15" hidden="false" customHeight="false" outlineLevel="0" collapsed="false">
      <c r="A512" s="41" t="n">
        <v>107</v>
      </c>
      <c r="B512" s="21" t="s">
        <v>320</v>
      </c>
      <c r="C512" s="11" t="s">
        <v>316</v>
      </c>
      <c r="D512" s="50" t="n">
        <f aca="false">D511*D403*Assumptions!$F$22</f>
        <v>7.95214285714286E-005</v>
      </c>
      <c r="E512" s="50" t="n">
        <f aca="false">E511*E403*Assumptions!$F$22</f>
        <v>0.000247435714285714</v>
      </c>
      <c r="F512" s="50" t="n">
        <f aca="false">F511*F403*Assumptions!$F$22</f>
        <v>0.000512614285714286</v>
      </c>
      <c r="G512" s="50" t="n">
        <f aca="false">G511*G403*Assumptions!$F$22</f>
        <v>0.000795535714285714</v>
      </c>
      <c r="H512" s="50" t="n">
        <f aca="false">H511*H403*Assumptions!$F$22</f>
        <v>0.0010962</v>
      </c>
      <c r="I512" s="50" t="n">
        <f aca="false">I511*I403*Assumptions!$F$22</f>
        <v>0.0013203</v>
      </c>
      <c r="J512" s="50" t="n">
        <f aca="false">J511*J403*Assumptions!$F$22</f>
        <v>0.00155622857142857</v>
      </c>
      <c r="K512" s="50" t="n">
        <f aca="false">K511*K403*Assumptions!$F$22</f>
        <v>0.00170376428571429</v>
      </c>
      <c r="L512" s="51" t="n">
        <f aca="false">K512</f>
        <v>0.00170376428571429</v>
      </c>
    </row>
    <row r="513" customFormat="false" ht="15" hidden="false" customHeight="false" outlineLevel="0" collapsed="false">
      <c r="A513" s="41" t="n">
        <v>108</v>
      </c>
      <c r="B513" s="21" t="s">
        <v>321</v>
      </c>
      <c r="C513" s="11" t="s">
        <v>316</v>
      </c>
      <c r="D513" s="50" t="n">
        <f aca="false">MAX(0,D512-N(C512))</f>
        <v>7.95214285714286E-005</v>
      </c>
      <c r="E513" s="50" t="n">
        <f aca="false">MAX(0,E512-N(D512))</f>
        <v>0.000167914285714286</v>
      </c>
      <c r="F513" s="50" t="n">
        <f aca="false">MAX(0,F512-N(E512))</f>
        <v>0.000265178571428571</v>
      </c>
      <c r="G513" s="50" t="n">
        <f aca="false">MAX(0,G512-N(F512))</f>
        <v>0.000282921428571429</v>
      </c>
      <c r="H513" s="50" t="n">
        <f aca="false">MAX(0,H512-N(G512))</f>
        <v>0.000300664285714286</v>
      </c>
      <c r="I513" s="50" t="n">
        <f aca="false">MAX(0,I512-N(H512))</f>
        <v>0.0002241</v>
      </c>
      <c r="J513" s="50" t="n">
        <f aca="false">MAX(0,J512-N(I512))</f>
        <v>0.000235928571428571</v>
      </c>
      <c r="K513" s="50" t="n">
        <f aca="false">MAX(0,K512-N(J512))</f>
        <v>0.000147535714285714</v>
      </c>
      <c r="L513" s="52" t="n">
        <f aca="false">SUM(D513:K513)</f>
        <v>0.00170376428571429</v>
      </c>
    </row>
    <row r="514" customFormat="false" ht="15" hidden="false" customHeight="false" outlineLevel="0" collapsed="false">
      <c r="A514" s="41" t="n">
        <v>109</v>
      </c>
      <c r="B514" s="21" t="s">
        <v>322</v>
      </c>
      <c r="C514" s="11" t="s">
        <v>316</v>
      </c>
      <c r="D514" s="50" t="n">
        <f aca="false">D512*Assumptions!$F$17</f>
        <v>0.0119282142857143</v>
      </c>
      <c r="E514" s="50" t="n">
        <f aca="false">E512*Assumptions!$F$17</f>
        <v>0.0371153571428571</v>
      </c>
      <c r="F514" s="50" t="n">
        <f aca="false">F512*Assumptions!$F$17</f>
        <v>0.0768921428571429</v>
      </c>
      <c r="G514" s="50" t="n">
        <f aca="false">G512*Assumptions!$F$17</f>
        <v>0.119330357142857</v>
      </c>
      <c r="H514" s="50" t="n">
        <f aca="false">H512*Assumptions!$F$17</f>
        <v>0.16443</v>
      </c>
      <c r="I514" s="50" t="n">
        <f aca="false">I512*Assumptions!$F$17</f>
        <v>0.198045</v>
      </c>
      <c r="J514" s="50" t="n">
        <f aca="false">J512*Assumptions!$F$17</f>
        <v>0.233434285714286</v>
      </c>
      <c r="K514" s="50" t="n">
        <f aca="false">K512*Assumptions!$F$17</f>
        <v>0.255564642857143</v>
      </c>
      <c r="L514" s="51" t="n">
        <f aca="false">K514</f>
        <v>0.255564642857143</v>
      </c>
    </row>
    <row r="515" customFormat="false" ht="15" hidden="false" customHeight="false" outlineLevel="0" collapsed="false">
      <c r="A515" s="41" t="n">
        <v>110</v>
      </c>
      <c r="B515" s="21" t="s">
        <v>323</v>
      </c>
      <c r="C515" s="11" t="s">
        <v>316</v>
      </c>
      <c r="D515" s="50" t="n">
        <f aca="false">N(C515)+D512*Assumptions!$F$23/100/4</f>
        <v>7.95214285714286E-007</v>
      </c>
      <c r="E515" s="50" t="n">
        <f aca="false">N(D515)+E512*Assumptions!$F$23/100/4</f>
        <v>3.26957142857143E-006</v>
      </c>
      <c r="F515" s="50" t="n">
        <f aca="false">N(E515)+F512*Assumptions!$F$23/100/4</f>
        <v>8.39571428571429E-006</v>
      </c>
      <c r="G515" s="50" t="n">
        <f aca="false">N(F515)+G512*Assumptions!$F$23/100/4</f>
        <v>1.63510714285714E-005</v>
      </c>
      <c r="H515" s="50" t="n">
        <f aca="false">N(G515)+H512*Assumptions!$F$23/100/4</f>
        <v>2.73130714285714E-005</v>
      </c>
      <c r="I515" s="50" t="n">
        <f aca="false">N(H515)+I512*Assumptions!$F$23/100/4</f>
        <v>4.05160714285714E-005</v>
      </c>
      <c r="J515" s="50" t="n">
        <f aca="false">N(I515)+J512*Assumptions!$F$23/100/4</f>
        <v>5.60783571428571E-005</v>
      </c>
      <c r="K515" s="50" t="n">
        <f aca="false">N(J515)+K512*Assumptions!$F$23/100/4</f>
        <v>7.3116E-005</v>
      </c>
      <c r="L515" s="51" t="n">
        <f aca="false">K515</f>
        <v>7.3116E-005</v>
      </c>
    </row>
    <row r="516" customFormat="false" ht="15" hidden="false" customHeight="false" outlineLevel="0" collapsed="false">
      <c r="A516" s="41" t="n">
        <v>111</v>
      </c>
      <c r="B516" s="21" t="s">
        <v>324</v>
      </c>
      <c r="C516" s="11" t="s">
        <v>316</v>
      </c>
      <c r="D516" s="50" t="n">
        <f aca="false">D514+D515</f>
        <v>0.0119290095</v>
      </c>
      <c r="E516" s="50" t="n">
        <f aca="false">E514+E515</f>
        <v>0.0371186267142857</v>
      </c>
      <c r="F516" s="50" t="n">
        <f aca="false">F514+F515</f>
        <v>0.0769005385714286</v>
      </c>
      <c r="G516" s="50" t="n">
        <f aca="false">G514+G515</f>
        <v>0.119346708214286</v>
      </c>
      <c r="H516" s="50" t="n">
        <f aca="false">H514+H515</f>
        <v>0.164457313071429</v>
      </c>
      <c r="I516" s="50" t="n">
        <f aca="false">I514+I515</f>
        <v>0.198085516071429</v>
      </c>
      <c r="J516" s="50" t="n">
        <f aca="false">J514+J515</f>
        <v>0.233490364071429</v>
      </c>
      <c r="K516" s="50" t="n">
        <f aca="false">K514+K515</f>
        <v>0.255637758857143</v>
      </c>
      <c r="L516" s="51" t="n">
        <f aca="false">K516</f>
        <v>0.255637758857143</v>
      </c>
    </row>
    <row r="517" customFormat="false" ht="15" hidden="false" customHeight="false" outlineLevel="0" collapsed="false">
      <c r="A517" s="41" t="n">
        <v>112</v>
      </c>
      <c r="B517" s="21" t="s">
        <v>325</v>
      </c>
      <c r="C517" s="11" t="s">
        <v>316</v>
      </c>
      <c r="D517" s="50" t="n">
        <f aca="false">D516*Assumptions!$F$31</f>
        <v>0.00835030665</v>
      </c>
      <c r="E517" s="50" t="n">
        <f aca="false">E516*Assumptions!$F$31</f>
        <v>0.0259830387</v>
      </c>
      <c r="F517" s="50" t="n">
        <f aca="false">F516*Assumptions!$F$31</f>
        <v>0.053830377</v>
      </c>
      <c r="G517" s="50" t="n">
        <f aca="false">G516*Assumptions!$F$31</f>
        <v>0.08354269575</v>
      </c>
      <c r="H517" s="50" t="n">
        <f aca="false">H516*Assumptions!$F$31</f>
        <v>0.11512011915</v>
      </c>
      <c r="I517" s="50" t="n">
        <f aca="false">I516*Assumptions!$F$31</f>
        <v>0.13865986125</v>
      </c>
      <c r="J517" s="50" t="n">
        <f aca="false">J516*Assumptions!$F$31</f>
        <v>0.16344325485</v>
      </c>
      <c r="K517" s="50" t="n">
        <f aca="false">K516*Assumptions!$F$31</f>
        <v>0.1789464312</v>
      </c>
      <c r="L517" s="51" t="n">
        <f aca="false">K517</f>
        <v>0.1789464312</v>
      </c>
    </row>
    <row r="518" customFormat="false" ht="15" hidden="false" customHeight="false" outlineLevel="0" collapsed="false">
      <c r="A518" s="41" t="n">
        <v>113</v>
      </c>
      <c r="B518" s="21" t="s">
        <v>355</v>
      </c>
      <c r="C518" s="11" t="s">
        <v>47</v>
      </c>
      <c r="D518" s="34" t="n">
        <f aca="false">MAX(0,MIN(Assumptions!$F$17,10)-5)*Assumptions!$F$26+MAX(0,MIN(Assumptions!$F$17,20)-10)*Assumptions!$F$27+MAX(0,Assumptions!$F$17-20)*Assumptions!$F$28</f>
        <v>20755</v>
      </c>
      <c r="E518" s="34" t="n">
        <f aca="false">MAX(0,MIN(Assumptions!$F$17,10)-5)*Assumptions!$F$26+MAX(0,MIN(Assumptions!$F$17,20)-10)*Assumptions!$F$27+MAX(0,Assumptions!$F$17-20)*Assumptions!$F$28</f>
        <v>20755</v>
      </c>
      <c r="F518" s="34" t="n">
        <f aca="false">MAX(0,MIN(Assumptions!$F$17,10)-5)*Assumptions!$F$26+MAX(0,MIN(Assumptions!$F$17,20)-10)*Assumptions!$F$27+MAX(0,Assumptions!$F$17-20)*Assumptions!$F$28</f>
        <v>20755</v>
      </c>
      <c r="G518" s="34" t="n">
        <f aca="false">MAX(0,MIN(Assumptions!$F$17,10)-5)*Assumptions!$F$26+MAX(0,MIN(Assumptions!$F$17,20)-10)*Assumptions!$F$27+MAX(0,Assumptions!$F$17-20)*Assumptions!$F$28</f>
        <v>20755</v>
      </c>
      <c r="H518" s="34" t="n">
        <f aca="false">MAX(0,MIN(Assumptions!$F$17,10)-5)*Assumptions!$F$26+MAX(0,MIN(Assumptions!$F$17,20)-10)*Assumptions!$F$27+MAX(0,Assumptions!$F$17-20)*Assumptions!$F$28</f>
        <v>20755</v>
      </c>
      <c r="I518" s="34" t="n">
        <f aca="false">MAX(0,MIN(Assumptions!$F$17,10)-5)*Assumptions!$F$26+MAX(0,MIN(Assumptions!$F$17,20)-10)*Assumptions!$F$27+MAX(0,Assumptions!$F$17-20)*Assumptions!$F$28</f>
        <v>20755</v>
      </c>
      <c r="J518" s="34" t="n">
        <f aca="false">MAX(0,MIN(Assumptions!$F$17,10)-5)*Assumptions!$F$26+MAX(0,MIN(Assumptions!$F$17,20)-10)*Assumptions!$F$27+MAX(0,Assumptions!$F$17-20)*Assumptions!$F$28</f>
        <v>20755</v>
      </c>
      <c r="K518" s="34" t="n">
        <f aca="false">MAX(0,MIN(Assumptions!$F$17,10)-5)*Assumptions!$F$26+MAX(0,MIN(Assumptions!$F$17,20)-10)*Assumptions!$F$27+MAX(0,Assumptions!$F$17-20)*Assumptions!$F$28</f>
        <v>20755</v>
      </c>
      <c r="L518" s="57" t="n">
        <f aca="false">K518</f>
        <v>20755</v>
      </c>
    </row>
    <row r="519" customFormat="false" ht="15" hidden="false" customHeight="false" outlineLevel="0" collapsed="false">
      <c r="A519" s="41" t="n">
        <v>114</v>
      </c>
      <c r="B519" s="21" t="s">
        <v>329</v>
      </c>
      <c r="C519" s="11" t="s">
        <v>275</v>
      </c>
      <c r="D519" s="34" t="n">
        <f aca="false">D514*Assumptions!$F$7*3/100</f>
        <v>46.5200357142857</v>
      </c>
      <c r="E519" s="34" t="n">
        <f aca="false">E514*Assumptions!$F$7*3/100</f>
        <v>144.749892857143</v>
      </c>
      <c r="F519" s="34" t="n">
        <f aca="false">F514*Assumptions!$F$7*3/100</f>
        <v>299.879357142857</v>
      </c>
      <c r="G519" s="34" t="n">
        <f aca="false">G514*Assumptions!$F$7*3/100</f>
        <v>465.388392857143</v>
      </c>
      <c r="H519" s="34" t="n">
        <f aca="false">H514*Assumptions!$F$7*3/100</f>
        <v>641.277</v>
      </c>
      <c r="I519" s="34" t="n">
        <f aca="false">I514*Assumptions!$F$7*3/100</f>
        <v>772.3755</v>
      </c>
      <c r="J519" s="34" t="n">
        <f aca="false">J514*Assumptions!$F$7*3/100</f>
        <v>910.393714285714</v>
      </c>
      <c r="K519" s="34" t="n">
        <f aca="false">K514*Assumptions!$F$7*3/100</f>
        <v>996.702107142857</v>
      </c>
      <c r="L519" s="55" t="n">
        <f aca="false">SUM(D519:K519)</f>
        <v>4277.286</v>
      </c>
    </row>
    <row r="520" customFormat="false" ht="15" hidden="false" customHeight="false" outlineLevel="0" collapsed="false">
      <c r="A520" s="41" t="n">
        <v>115</v>
      </c>
      <c r="B520" s="21" t="s">
        <v>330</v>
      </c>
      <c r="C520" s="11" t="s">
        <v>275</v>
      </c>
      <c r="D520" s="53" t="n">
        <f aca="false">D519*Assumptions!$F$42</f>
        <v>1.39560107142857</v>
      </c>
      <c r="E520" s="53" t="n">
        <f aca="false">E519*Assumptions!$F$42</f>
        <v>4.34249678571429</v>
      </c>
      <c r="F520" s="53" t="n">
        <f aca="false">F519*Assumptions!$F$42</f>
        <v>8.99638071428571</v>
      </c>
      <c r="G520" s="53" t="n">
        <f aca="false">G519*Assumptions!$F$42</f>
        <v>13.9616517857143</v>
      </c>
      <c r="H520" s="53" t="n">
        <f aca="false">H519*Assumptions!$F$42</f>
        <v>19.23831</v>
      </c>
      <c r="I520" s="53" t="n">
        <f aca="false">I519*Assumptions!$F$42</f>
        <v>23.171265</v>
      </c>
      <c r="J520" s="53" t="n">
        <f aca="false">J519*Assumptions!$F$42</f>
        <v>27.3118114285714</v>
      </c>
      <c r="K520" s="53" t="n">
        <f aca="false">K519*Assumptions!$F$42</f>
        <v>29.9010632142857</v>
      </c>
      <c r="L520" s="54" t="n">
        <f aca="false">SUM(D520:K520)</f>
        <v>128.31858</v>
      </c>
    </row>
    <row r="521" customFormat="false" ht="15" hidden="false" customHeight="false" outlineLevel="0" collapsed="false">
      <c r="A521" s="41" t="n">
        <v>116</v>
      </c>
      <c r="B521" s="21" t="s">
        <v>353</v>
      </c>
      <c r="C521" s="11" t="s">
        <v>275</v>
      </c>
      <c r="D521" s="53" t="n">
        <f aca="false">D519*Assumptions!$F$43</f>
        <v>2.32600178571429</v>
      </c>
      <c r="E521" s="53" t="n">
        <f aca="false">E519*Assumptions!$F$43</f>
        <v>7.23749464285714</v>
      </c>
      <c r="F521" s="53" t="n">
        <f aca="false">F519*Assumptions!$F$43</f>
        <v>14.9939678571429</v>
      </c>
      <c r="G521" s="53" t="n">
        <f aca="false">G519*Assumptions!$F$43</f>
        <v>23.2694196428571</v>
      </c>
      <c r="H521" s="53" t="n">
        <f aca="false">H519*Assumptions!$F$43</f>
        <v>32.06385</v>
      </c>
      <c r="I521" s="53" t="n">
        <f aca="false">I519*Assumptions!$F$43</f>
        <v>38.618775</v>
      </c>
      <c r="J521" s="53" t="n">
        <f aca="false">J519*Assumptions!$F$43</f>
        <v>45.5196857142857</v>
      </c>
      <c r="K521" s="53" t="n">
        <f aca="false">K519*Assumptions!$F$43</f>
        <v>49.8351053571429</v>
      </c>
      <c r="L521" s="54" t="n">
        <f aca="false">SUM(D521:K521)</f>
        <v>213.8643</v>
      </c>
    </row>
    <row r="522" customFormat="false" ht="15" hidden="false" customHeight="false" outlineLevel="0" collapsed="false">
      <c r="A522" s="41" t="n">
        <v>117</v>
      </c>
      <c r="B522" s="21" t="s">
        <v>331</v>
      </c>
      <c r="C522" s="11" t="s">
        <v>275</v>
      </c>
      <c r="D522" s="53" t="n">
        <f aca="false">D517*Assumptions!$F$7*3/100*Assumptions!$F$44</f>
        <v>0.6513239187</v>
      </c>
      <c r="E522" s="53" t="n">
        <f aca="false">E517*Assumptions!$F$7*3/100*Assumptions!$F$44</f>
        <v>2.0266770186</v>
      </c>
      <c r="F522" s="53" t="n">
        <f aca="false">F517*Assumptions!$F$7*3/100*Assumptions!$F$44</f>
        <v>4.198769406</v>
      </c>
      <c r="G522" s="53" t="n">
        <f aca="false">G517*Assumptions!$F$7*3/100*Assumptions!$F$44</f>
        <v>6.5163302685</v>
      </c>
      <c r="H522" s="53" t="n">
        <f aca="false">H517*Assumptions!$F$7*3/100*Assumptions!$F$44</f>
        <v>8.9793692937</v>
      </c>
      <c r="I522" s="53" t="n">
        <f aca="false">I517*Assumptions!$F$7*3/100*Assumptions!$F$44</f>
        <v>10.8154691775</v>
      </c>
      <c r="J522" s="53" t="n">
        <f aca="false">J517*Assumptions!$F$7*3/100*Assumptions!$F$44</f>
        <v>12.7485738783</v>
      </c>
      <c r="K522" s="53" t="n">
        <f aca="false">K517*Assumptions!$F$7*3/100*Assumptions!$F$44</f>
        <v>13.9578216336</v>
      </c>
      <c r="L522" s="54" t="n">
        <f aca="false">SUM(D522:K522)</f>
        <v>59.8943345949</v>
      </c>
    </row>
    <row r="523" customFormat="false" ht="15" hidden="false" customHeight="false" outlineLevel="0" collapsed="false">
      <c r="A523" s="41" t="n">
        <v>118</v>
      </c>
      <c r="B523" s="21" t="s">
        <v>332</v>
      </c>
      <c r="C523" s="11" t="s">
        <v>316</v>
      </c>
      <c r="D523" s="50" t="n">
        <f aca="false">N(C523)+D516*Assumptions!$F$45/4</f>
        <v>8.946757125E-005</v>
      </c>
      <c r="E523" s="50" t="n">
        <f aca="false">N(D523)+E516*Assumptions!$F$45/4</f>
        <v>0.000367857271607143</v>
      </c>
      <c r="F523" s="50" t="n">
        <f aca="false">N(E523)+F516*Assumptions!$F$45/4</f>
        <v>0.000944611310892857</v>
      </c>
      <c r="G523" s="50" t="n">
        <f aca="false">N(F523)+G516*Assumptions!$F$45/4</f>
        <v>0.0018397116225</v>
      </c>
      <c r="H523" s="50" t="n">
        <f aca="false">N(G523)+H516*Assumptions!$F$45/4</f>
        <v>0.00307314147053571</v>
      </c>
      <c r="I523" s="50" t="n">
        <f aca="false">N(H523)+I516*Assumptions!$F$45/4</f>
        <v>0.00455878284107143</v>
      </c>
      <c r="J523" s="50" t="n">
        <f aca="false">N(I523)+J516*Assumptions!$F$45/4</f>
        <v>0.00630996057160714</v>
      </c>
      <c r="K523" s="50" t="n">
        <f aca="false">N(J523)+K516*Assumptions!$F$45/4</f>
        <v>0.00822724376303571</v>
      </c>
      <c r="L523" s="51" t="n">
        <f aca="false">K523</f>
        <v>0.00822724376303571</v>
      </c>
    </row>
    <row r="524" customFormat="false" ht="15" hidden="false" customHeight="false" outlineLevel="0" collapsed="false">
      <c r="A524" s="41" t="n">
        <v>119</v>
      </c>
      <c r="B524" s="21" t="s">
        <v>333</v>
      </c>
      <c r="C524" s="11" t="s">
        <v>275</v>
      </c>
      <c r="D524" s="53" t="n">
        <f aca="false">D523*Assumptions!$F$7*3/100</f>
        <v>0.348923527875</v>
      </c>
      <c r="E524" s="53" t="n">
        <f aca="false">E523*Assumptions!$F$7*3/100</f>
        <v>1.43464335926786</v>
      </c>
      <c r="F524" s="53" t="n">
        <f aca="false">F523*Assumptions!$F$7*3/100</f>
        <v>3.68398411248214</v>
      </c>
      <c r="G524" s="53" t="n">
        <f aca="false">G523*Assumptions!$F$7*3/100</f>
        <v>7.17487532775</v>
      </c>
      <c r="H524" s="53" t="n">
        <f aca="false">H523*Assumptions!$F$7*3/100</f>
        <v>11.9852517350893</v>
      </c>
      <c r="I524" s="53" t="n">
        <f aca="false">I523*Assumptions!$F$7*3/100</f>
        <v>17.7792530801786</v>
      </c>
      <c r="J524" s="53" t="n">
        <f aca="false">J523*Assumptions!$F$7*3/100</f>
        <v>24.6088462292679</v>
      </c>
      <c r="K524" s="53" t="n">
        <f aca="false">K523*Assumptions!$F$7*3/100</f>
        <v>32.0862506758393</v>
      </c>
      <c r="L524" s="54" t="n">
        <f aca="false">SUM(D524:K524)</f>
        <v>99.10202804775</v>
      </c>
    </row>
    <row r="525" customFormat="false" ht="15" hidden="false" customHeight="false" outlineLevel="0" collapsed="false">
      <c r="A525" s="41" t="n">
        <v>120</v>
      </c>
      <c r="B525" s="21" t="s">
        <v>334</v>
      </c>
      <c r="C525" s="11" t="s">
        <v>275</v>
      </c>
      <c r="D525" s="53" t="n">
        <f aca="false">D515*Assumptions!$F$7*3/100</f>
        <v>0.00310133571428571</v>
      </c>
      <c r="E525" s="53" t="n">
        <f aca="false">E515*Assumptions!$F$7*3/100</f>
        <v>0.0127513285714286</v>
      </c>
      <c r="F525" s="53" t="n">
        <f aca="false">F515*Assumptions!$F$7*3/100</f>
        <v>0.0327432857142857</v>
      </c>
      <c r="G525" s="53" t="n">
        <f aca="false">G515*Assumptions!$F$7*3/100</f>
        <v>0.0637691785714286</v>
      </c>
      <c r="H525" s="53" t="n">
        <f aca="false">H515*Assumptions!$F$7*3/100</f>
        <v>0.106520978571429</v>
      </c>
      <c r="I525" s="53" t="n">
        <f aca="false">I515*Assumptions!$F$7*3/100</f>
        <v>0.158012678571429</v>
      </c>
      <c r="J525" s="53" t="n">
        <f aca="false">J515*Assumptions!$F$7*3/100</f>
        <v>0.218705592857143</v>
      </c>
      <c r="K525" s="53" t="n">
        <f aca="false">K515*Assumptions!$F$7*3/100</f>
        <v>0.2851524</v>
      </c>
      <c r="L525" s="54" t="n">
        <f aca="false">SUM(D525:K525)</f>
        <v>0.880756778571429</v>
      </c>
    </row>
    <row r="526" customFormat="false" ht="15" hidden="false" customHeight="false" outlineLevel="0" collapsed="false">
      <c r="A526" s="41" t="n">
        <v>121</v>
      </c>
      <c r="B526" s="21" t="s">
        <v>335</v>
      </c>
      <c r="C526" s="11" t="s">
        <v>275</v>
      </c>
      <c r="D526" s="53" t="n">
        <f aca="false">D520+D522+D524+D525+D521</f>
        <v>4.72495163943214</v>
      </c>
      <c r="E526" s="53" t="n">
        <f aca="false">E520+E522+E524+E525+E521</f>
        <v>15.0540631350107</v>
      </c>
      <c r="F526" s="53" t="n">
        <f aca="false">F520+F522+F524+F525+F521</f>
        <v>31.905845375625</v>
      </c>
      <c r="G526" s="53" t="n">
        <f aca="false">G520+G522+G524+G525+G521</f>
        <v>50.9860462033929</v>
      </c>
      <c r="H526" s="53" t="n">
        <f aca="false">H520+H522+H524+H525+H521</f>
        <v>72.3733020073607</v>
      </c>
      <c r="I526" s="53" t="n">
        <f aca="false">I520+I522+I524+I525+I521</f>
        <v>90.54277493625</v>
      </c>
      <c r="J526" s="53" t="n">
        <f aca="false">J520+J522+J524+J525+J521</f>
        <v>110.407622843282</v>
      </c>
      <c r="K526" s="53" t="n">
        <f aca="false">K520+K522+K524+K525+K521</f>
        <v>126.065393280868</v>
      </c>
      <c r="L526" s="54" t="n">
        <f aca="false">SUM(D526:K526)</f>
        <v>502.059999421221</v>
      </c>
    </row>
    <row r="527" customFormat="false" ht="15" hidden="false" customHeight="false" outlineLevel="0" collapsed="false">
      <c r="A527" s="41" t="n">
        <v>122</v>
      </c>
      <c r="B527" s="21" t="s">
        <v>336</v>
      </c>
      <c r="C527" s="11" t="s">
        <v>275</v>
      </c>
      <c r="D527" s="24" t="n">
        <f aca="false">D512*Assumptions!$F$25*3/100</f>
        <v>0.000713307214285714</v>
      </c>
      <c r="E527" s="24" t="n">
        <f aca="false">E512*Assumptions!$F$25*3/100</f>
        <v>0.00221949835714286</v>
      </c>
      <c r="F527" s="24" t="n">
        <f aca="false">F512*Assumptions!$F$25*3/100</f>
        <v>0.00459815014285714</v>
      </c>
      <c r="G527" s="24" t="n">
        <f aca="false">G512*Assumptions!$F$25*3/100</f>
        <v>0.00713595535714286</v>
      </c>
      <c r="H527" s="24" t="n">
        <f aca="false">H512*Assumptions!$F$25*3/100</f>
        <v>0.009832914</v>
      </c>
      <c r="I527" s="24" t="n">
        <f aca="false">I512*Assumptions!$F$25*3/100</f>
        <v>0.011843091</v>
      </c>
      <c r="J527" s="24" t="n">
        <f aca="false">J512*Assumptions!$F$25*3/100</f>
        <v>0.0139593702857143</v>
      </c>
      <c r="K527" s="24" t="n">
        <f aca="false">K512*Assumptions!$F$25*3/100</f>
        <v>0.0152827656428571</v>
      </c>
      <c r="L527" s="56" t="n">
        <f aca="false">SUM(D527:K527)</f>
        <v>0.065585052</v>
      </c>
    </row>
    <row r="528" customFormat="false" ht="15" hidden="false" customHeight="false" outlineLevel="0" collapsed="false">
      <c r="A528" s="41" t="n">
        <v>123</v>
      </c>
      <c r="B528" s="21" t="s">
        <v>356</v>
      </c>
      <c r="C528" s="11" t="s">
        <v>275</v>
      </c>
      <c r="D528" s="24" t="n">
        <f aca="false">D512*D518*3/100</f>
        <v>0.0495140175</v>
      </c>
      <c r="E528" s="24" t="n">
        <f aca="false">E512*E518*3/100</f>
        <v>0.1540658475</v>
      </c>
      <c r="F528" s="24" t="n">
        <f aca="false">F512*F518*3/100</f>
        <v>0.319179285</v>
      </c>
      <c r="G528" s="24" t="n">
        <f aca="false">G512*G518*3/100</f>
        <v>0.4953403125</v>
      </c>
      <c r="H528" s="24" t="n">
        <f aca="false">H512*H518*3/100</f>
        <v>0.68254893</v>
      </c>
      <c r="I528" s="24" t="n">
        <f aca="false">I512*I518*3/100</f>
        <v>0.822084795</v>
      </c>
      <c r="J528" s="24" t="n">
        <f aca="false">J512*J518*3/100</f>
        <v>0.96898572</v>
      </c>
      <c r="K528" s="24" t="n">
        <f aca="false">K512*K518*3/100</f>
        <v>1.0608488325</v>
      </c>
      <c r="L528" s="56" t="n">
        <f aca="false">SUM(D528:K528)</f>
        <v>4.55256774</v>
      </c>
    </row>
    <row r="529" customFormat="false" ht="15" hidden="false" customHeight="false" outlineLevel="0" collapsed="false">
      <c r="A529" s="41" t="n">
        <v>124</v>
      </c>
      <c r="B529" s="21" t="s">
        <v>337</v>
      </c>
      <c r="C529" s="11" t="s">
        <v>275</v>
      </c>
      <c r="D529" s="24" t="n">
        <f aca="false">D517*Assumptions!$F$29*3/100</f>
        <v>0.0373258707255</v>
      </c>
      <c r="E529" s="24" t="n">
        <f aca="false">E517*Assumptions!$F$29*3/100</f>
        <v>0.116144182989</v>
      </c>
      <c r="F529" s="24" t="n">
        <f aca="false">F517*Assumptions!$F$29*3/100</f>
        <v>0.24062178519</v>
      </c>
      <c r="G529" s="24" t="n">
        <f aca="false">G517*Assumptions!$F$29*3/100</f>
        <v>0.3734358500025</v>
      </c>
      <c r="H529" s="24" t="n">
        <f aca="false">H517*Assumptions!$F$29*3/100</f>
        <v>0.5145869326005</v>
      </c>
      <c r="I529" s="24" t="n">
        <f aca="false">I517*Assumptions!$F$29*3/100</f>
        <v>0.6198095797875</v>
      </c>
      <c r="J529" s="24" t="n">
        <f aca="false">J517*Assumptions!$F$29*3/100</f>
        <v>0.7305913491795</v>
      </c>
      <c r="K529" s="24" t="n">
        <f aca="false">K517*Assumptions!$F$29*3/100</f>
        <v>0.799890547464</v>
      </c>
      <c r="L529" s="56" t="n">
        <f aca="false">SUM(D529:K529)</f>
        <v>3.4324060979385</v>
      </c>
    </row>
    <row r="530" customFormat="false" ht="15" hidden="false" customHeight="false" outlineLevel="0" collapsed="false">
      <c r="A530" s="41" t="n">
        <v>125</v>
      </c>
      <c r="B530" s="21" t="s">
        <v>338</v>
      </c>
      <c r="C530" s="11" t="s">
        <v>275</v>
      </c>
      <c r="D530" s="24" t="n">
        <f aca="false">D512*Assumptions!$F$33*Assumptions!$F$32*3/100</f>
        <v>0.000106638235714286</v>
      </c>
      <c r="E530" s="24" t="n">
        <f aca="false">E512*Assumptions!$F$33*Assumptions!$F$32*3/100</f>
        <v>0.000331811292857143</v>
      </c>
      <c r="F530" s="24" t="n">
        <f aca="false">F512*Assumptions!$F$33*Assumptions!$F$32*3/100</f>
        <v>0.000687415757142857</v>
      </c>
      <c r="G530" s="24" t="n">
        <f aca="false">G512*Assumptions!$F$33*Assumptions!$F$32*3/100</f>
        <v>0.00106681339285714</v>
      </c>
      <c r="H530" s="24" t="n">
        <f aca="false">H512*Assumptions!$F$33*Assumptions!$F$32*3/100</f>
        <v>0.0014700042</v>
      </c>
      <c r="I530" s="24" t="n">
        <f aca="false">I512*Assumptions!$F$33*Assumptions!$F$32*3/100</f>
        <v>0.0017705223</v>
      </c>
      <c r="J530" s="24" t="n">
        <f aca="false">J512*Assumptions!$F$33*Assumptions!$F$32*3/100</f>
        <v>0.00208690251428571</v>
      </c>
      <c r="K530" s="24" t="n">
        <f aca="false">K512*Assumptions!$F$33*Assumptions!$F$32*3/100</f>
        <v>0.00228474790714286</v>
      </c>
      <c r="L530" s="56" t="n">
        <f aca="false">SUM(D530:K530)</f>
        <v>0.0098048556</v>
      </c>
    </row>
    <row r="531" customFormat="false" ht="15" hidden="false" customHeight="false" outlineLevel="0" collapsed="false">
      <c r="A531" s="41" t="n">
        <v>126</v>
      </c>
      <c r="B531" s="21" t="s">
        <v>340</v>
      </c>
      <c r="C531" s="11" t="s">
        <v>275</v>
      </c>
      <c r="D531" s="24" t="n">
        <f aca="false">D526*Assumptions!$F$6</f>
        <v>0.00188998065577286</v>
      </c>
      <c r="E531" s="24" t="n">
        <f aca="false">E526*Assumptions!$F$6</f>
        <v>0.00602162525400429</v>
      </c>
      <c r="F531" s="24" t="n">
        <f aca="false">F526*Assumptions!$F$6</f>
        <v>0.01276233815025</v>
      </c>
      <c r="G531" s="24" t="n">
        <f aca="false">G526*Assumptions!$F$6</f>
        <v>0.0203944184813571</v>
      </c>
      <c r="H531" s="24" t="n">
        <f aca="false">H526*Assumptions!$F$6</f>
        <v>0.0289493208029443</v>
      </c>
      <c r="I531" s="24" t="n">
        <f aca="false">I526*Assumptions!$F$6</f>
        <v>0.0362171099745</v>
      </c>
      <c r="J531" s="24" t="n">
        <f aca="false">J526*Assumptions!$F$6</f>
        <v>0.0441630491373129</v>
      </c>
      <c r="K531" s="24" t="n">
        <f aca="false">K526*Assumptions!$F$6</f>
        <v>0.0504261573123471</v>
      </c>
      <c r="L531" s="56" t="n">
        <f aca="false">SUM(D531:K531)</f>
        <v>0.200823999768489</v>
      </c>
    </row>
    <row r="532" customFormat="false" ht="15" hidden="false" customHeight="false" outlineLevel="0" collapsed="false">
      <c r="A532" s="41" t="n">
        <v>127</v>
      </c>
      <c r="B532" s="21" t="s">
        <v>341</v>
      </c>
      <c r="C532" s="11" t="s">
        <v>275</v>
      </c>
      <c r="D532" s="24" t="n">
        <f aca="false">(D523+D515)*Assumptions!$F$9*3/100</f>
        <v>0.000270788356607143</v>
      </c>
      <c r="E532" s="24" t="n">
        <f aca="false">(E523+E515)*Assumptions!$F$9*3/100</f>
        <v>0.00111338052910714</v>
      </c>
      <c r="F532" s="24" t="n">
        <f aca="false">(F523+F515)*Assumptions!$F$9*3/100</f>
        <v>0.00285902107553571</v>
      </c>
      <c r="G532" s="24" t="n">
        <f aca="false">(G523+G515)*Assumptions!$F$9*3/100</f>
        <v>0.00556818808178571</v>
      </c>
      <c r="H532" s="24" t="n">
        <f aca="false">(H523+H515)*Assumptions!$F$9*3/100</f>
        <v>0.00930136362589286</v>
      </c>
      <c r="I532" s="24" t="n">
        <f aca="false">(I523+I515)*Assumptions!$F$9*3/100</f>
        <v>0.0137978967375</v>
      </c>
      <c r="J532" s="24" t="n">
        <f aca="false">(J523+J515)*Assumptions!$F$9*3/100</f>
        <v>0.01909811678625</v>
      </c>
      <c r="K532" s="24" t="n">
        <f aca="false">(K523+K515)*Assumptions!$F$9*3/100</f>
        <v>0.0249010792891071</v>
      </c>
      <c r="L532" s="56" t="n">
        <f aca="false">SUM(D532:K532)</f>
        <v>0.0769098344817857</v>
      </c>
    </row>
    <row r="533" customFormat="false" ht="15" hidden="false" customHeight="false" outlineLevel="0" collapsed="false">
      <c r="A533" s="41" t="n">
        <v>128</v>
      </c>
      <c r="B533" s="21" t="s">
        <v>342</v>
      </c>
      <c r="C533" s="11" t="s">
        <v>275</v>
      </c>
      <c r="D533" s="24" t="n">
        <f aca="false">SUM(D527:D532)</f>
        <v>0.08982060268788</v>
      </c>
      <c r="E533" s="24" t="n">
        <f aca="false">SUM(E527:E532)</f>
        <v>0.279896345922111</v>
      </c>
      <c r="F533" s="24" t="n">
        <f aca="false">SUM(F527:F532)</f>
        <v>0.580707995315786</v>
      </c>
      <c r="G533" s="24" t="n">
        <f aca="false">SUM(G527:G532)</f>
        <v>0.902941537815643</v>
      </c>
      <c r="H533" s="24" t="n">
        <f aca="false">SUM(H527:H532)</f>
        <v>1.24668946522934</v>
      </c>
      <c r="I533" s="24" t="n">
        <f aca="false">SUM(I527:I532)</f>
        <v>1.5055229947995</v>
      </c>
      <c r="J533" s="24" t="n">
        <f aca="false">SUM(J527:J532)</f>
        <v>1.77888450790306</v>
      </c>
      <c r="K533" s="24" t="n">
        <f aca="false">SUM(K527:K532)</f>
        <v>1.95363413011545</v>
      </c>
      <c r="L533" s="56" t="n">
        <f aca="false">SUM(D533:K533)</f>
        <v>8.33809757978877</v>
      </c>
    </row>
    <row r="534" customFormat="false" ht="15" hidden="false" customHeight="false" outlineLevel="0" collapsed="false">
      <c r="A534" s="41" t="n">
        <v>129</v>
      </c>
      <c r="B534" s="21" t="s">
        <v>343</v>
      </c>
      <c r="C534" s="11" t="s">
        <v>275</v>
      </c>
      <c r="D534" s="24" t="n">
        <f aca="false">D516*Assumptions!$F$47*3/100</f>
        <v>0.005368054275</v>
      </c>
      <c r="E534" s="24" t="n">
        <f aca="false">E516*Assumptions!$F$47*3/100</f>
        <v>0.0167033820214286</v>
      </c>
      <c r="F534" s="24" t="n">
        <f aca="false">F516*Assumptions!$F$47*3/100</f>
        <v>0.0346052423571429</v>
      </c>
      <c r="G534" s="24" t="n">
        <f aca="false">G516*Assumptions!$F$47*3/100</f>
        <v>0.0537060186964286</v>
      </c>
      <c r="H534" s="24" t="n">
        <f aca="false">H516*Assumptions!$F$47*3/100</f>
        <v>0.0740057908821429</v>
      </c>
      <c r="I534" s="24" t="n">
        <f aca="false">I516*Assumptions!$F$47*3/100</f>
        <v>0.0891384822321428</v>
      </c>
      <c r="J534" s="24" t="n">
        <f aca="false">J516*Assumptions!$F$47*3/100</f>
        <v>0.105070663832143</v>
      </c>
      <c r="K534" s="24" t="n">
        <f aca="false">K516*Assumptions!$F$47*3/100</f>
        <v>0.115036991485714</v>
      </c>
      <c r="L534" s="56" t="n">
        <f aca="false">SUM(D534:K534)</f>
        <v>0.493634625782143</v>
      </c>
    </row>
    <row r="535" customFormat="false" ht="15" hidden="false" customHeight="false" outlineLevel="0" collapsed="false">
      <c r="A535" s="41" t="n">
        <v>130</v>
      </c>
      <c r="B535" s="21" t="s">
        <v>344</v>
      </c>
      <c r="C535" s="11" t="s">
        <v>275</v>
      </c>
      <c r="D535" s="24" t="n">
        <f aca="false">D517*Assumptions!$F$48*90*Assumptions!$F$49/100</f>
        <v>0.004509165591</v>
      </c>
      <c r="E535" s="24" t="n">
        <f aca="false">E517*Assumptions!$F$48*90*Assumptions!$F$49/100</f>
        <v>0.014030840898</v>
      </c>
      <c r="F535" s="24" t="n">
        <f aca="false">F517*Assumptions!$F$48*90*Assumptions!$F$49/100</f>
        <v>0.02906840358</v>
      </c>
      <c r="G535" s="24" t="n">
        <f aca="false">G517*Assumptions!$F$48*90*Assumptions!$F$49/100</f>
        <v>0.045113055705</v>
      </c>
      <c r="H535" s="24" t="n">
        <f aca="false">H517*Assumptions!$F$48*90*Assumptions!$F$49/100</f>
        <v>0.062164864341</v>
      </c>
      <c r="I535" s="24" t="n">
        <f aca="false">I517*Assumptions!$F$48*90*Assumptions!$F$49/100</f>
        <v>0.074876325075</v>
      </c>
      <c r="J535" s="24" t="n">
        <f aca="false">J517*Assumptions!$F$48*90*Assumptions!$F$49/100</f>
        <v>0.088259357619</v>
      </c>
      <c r="K535" s="24" t="n">
        <f aca="false">K517*Assumptions!$F$48*90*Assumptions!$F$49/100</f>
        <v>0.096631072848</v>
      </c>
      <c r="L535" s="56" t="n">
        <f aca="false">SUM(D535:K535)</f>
        <v>0.414653085657</v>
      </c>
    </row>
    <row r="536" customFormat="false" ht="15" hidden="false" customHeight="false" outlineLevel="0" collapsed="false">
      <c r="A536" s="41" t="n">
        <v>131</v>
      </c>
      <c r="B536" s="21" t="s">
        <v>345</v>
      </c>
      <c r="C536" s="11" t="s">
        <v>275</v>
      </c>
      <c r="D536" s="24" t="n">
        <f aca="false">D512*Assumptions!$F$50*3/100</f>
        <v>2.38564285714286E-005</v>
      </c>
      <c r="E536" s="24" t="n">
        <f aca="false">E512*Assumptions!$F$50*3/100</f>
        <v>7.42307142857143E-005</v>
      </c>
      <c r="F536" s="24" t="n">
        <f aca="false">F512*Assumptions!$F$50*3/100</f>
        <v>0.000153784285714286</v>
      </c>
      <c r="G536" s="24" t="n">
        <f aca="false">G512*Assumptions!$F$50*3/100</f>
        <v>0.000238660714285714</v>
      </c>
      <c r="H536" s="24" t="n">
        <f aca="false">H512*Assumptions!$F$50*3/100</f>
        <v>0.00032886</v>
      </c>
      <c r="I536" s="24" t="n">
        <f aca="false">I512*Assumptions!$F$50*3/100</f>
        <v>0.00039609</v>
      </c>
      <c r="J536" s="24" t="n">
        <f aca="false">J512*Assumptions!$F$50*3/100</f>
        <v>0.000466868571428571</v>
      </c>
      <c r="K536" s="24" t="n">
        <f aca="false">K512*Assumptions!$F$50*3/100</f>
        <v>0.000511129285714286</v>
      </c>
      <c r="L536" s="56" t="n">
        <f aca="false">SUM(D536:K536)</f>
        <v>0.00219348</v>
      </c>
    </row>
    <row r="537" customFormat="false" ht="15" hidden="false" customHeight="false" outlineLevel="0" collapsed="false">
      <c r="A537" s="41" t="n">
        <v>132</v>
      </c>
      <c r="B537" s="21" t="s">
        <v>346</v>
      </c>
      <c r="C537" s="11" t="s">
        <v>275</v>
      </c>
      <c r="D537" s="24" t="n">
        <f aca="false">D516*Assumptions!$F$51*3/100</f>
        <v>0.00286296228</v>
      </c>
      <c r="E537" s="24" t="n">
        <f aca="false">E516*Assumptions!$F$51*3/100</f>
        <v>0.00890847041142857</v>
      </c>
      <c r="F537" s="24" t="n">
        <f aca="false">F516*Assumptions!$F$51*3/100</f>
        <v>0.0184561292571429</v>
      </c>
      <c r="G537" s="24" t="n">
        <f aca="false">G516*Assumptions!$F$51*3/100</f>
        <v>0.0286432099714286</v>
      </c>
      <c r="H537" s="24" t="n">
        <f aca="false">H516*Assumptions!$F$51*3/100</f>
        <v>0.0394697551371429</v>
      </c>
      <c r="I537" s="24" t="n">
        <f aca="false">I516*Assumptions!$F$51*3/100</f>
        <v>0.0475405238571429</v>
      </c>
      <c r="J537" s="24" t="n">
        <f aca="false">J516*Assumptions!$F$51*3/100</f>
        <v>0.0560376873771429</v>
      </c>
      <c r="K537" s="24" t="n">
        <f aca="false">K516*Assumptions!$F$51*3/100</f>
        <v>0.0613530621257143</v>
      </c>
      <c r="L537" s="56" t="n">
        <f aca="false">SUM(D537:K537)</f>
        <v>0.263271800417143</v>
      </c>
    </row>
    <row r="538" customFormat="false" ht="15" hidden="false" customHeight="false" outlineLevel="0" collapsed="false">
      <c r="A538" s="41" t="n">
        <v>133</v>
      </c>
      <c r="B538" s="21" t="s">
        <v>358</v>
      </c>
      <c r="C538" s="11" t="s">
        <v>275</v>
      </c>
      <c r="D538" s="24" t="n">
        <f aca="false">D513*(Assumptions!$F$52+Assumptions!$F$53*Assumptions!$F$17+Assumptions!$F$54)/100</f>
        <v>0.0318880928571429</v>
      </c>
      <c r="E538" s="24" t="n">
        <f aca="false">E513*(Assumptions!$F$52+Assumptions!$F$53*Assumptions!$F$17+Assumptions!$F$54)/100</f>
        <v>0.0673336285714286</v>
      </c>
      <c r="F538" s="24" t="n">
        <f aca="false">F513*(Assumptions!$F$52+Assumptions!$F$53*Assumptions!$F$17+Assumptions!$F$54)/100</f>
        <v>0.106336607142857</v>
      </c>
      <c r="G538" s="24" t="n">
        <f aca="false">G513*(Assumptions!$F$52+Assumptions!$F$53*Assumptions!$F$17+Assumptions!$F$54)/100</f>
        <v>0.113451492857143</v>
      </c>
      <c r="H538" s="24" t="n">
        <f aca="false">H513*(Assumptions!$F$52+Assumptions!$F$53*Assumptions!$F$17+Assumptions!$F$54)/100</f>
        <v>0.120566378571429</v>
      </c>
      <c r="I538" s="24" t="n">
        <f aca="false">I513*(Assumptions!$F$52+Assumptions!$F$53*Assumptions!$F$17+Assumptions!$F$54)/100</f>
        <v>0.0898640999999999</v>
      </c>
      <c r="J538" s="24" t="n">
        <f aca="false">J513*(Assumptions!$F$52+Assumptions!$F$53*Assumptions!$F$17+Assumptions!$F$54)/100</f>
        <v>0.0946073571428571</v>
      </c>
      <c r="K538" s="24" t="n">
        <f aca="false">K513*(Assumptions!$F$52+Assumptions!$F$53*Assumptions!$F$17+Assumptions!$F$54)/100</f>
        <v>0.0591618214285715</v>
      </c>
      <c r="L538" s="56" t="n">
        <f aca="false">SUM(D538:K538)</f>
        <v>0.683209478571429</v>
      </c>
    </row>
    <row r="539" customFormat="false" ht="15" hidden="false" customHeight="false" outlineLevel="0" collapsed="false">
      <c r="A539" s="41" t="n">
        <v>134</v>
      </c>
      <c r="B539" s="21" t="s">
        <v>350</v>
      </c>
      <c r="C539" s="11" t="s">
        <v>275</v>
      </c>
      <c r="D539" s="24" t="n">
        <f aca="false">SUM(D534:D538)</f>
        <v>0.0446521314317143</v>
      </c>
      <c r="E539" s="24" t="n">
        <f aca="false">SUM(E534:E538)</f>
        <v>0.107050552616571</v>
      </c>
      <c r="F539" s="24" t="n">
        <f aca="false">SUM(F534:F538)</f>
        <v>0.188620166622857</v>
      </c>
      <c r="G539" s="24" t="n">
        <f aca="false">SUM(G534:G538)</f>
        <v>0.241152437944286</v>
      </c>
      <c r="H539" s="24" t="n">
        <f aca="false">SUM(H534:H538)</f>
        <v>0.296535648931714</v>
      </c>
      <c r="I539" s="24" t="n">
        <f aca="false">SUM(I534:I538)</f>
        <v>0.301815521164286</v>
      </c>
      <c r="J539" s="24" t="n">
        <f aca="false">SUM(J534:J538)</f>
        <v>0.344441934542571</v>
      </c>
      <c r="K539" s="24" t="n">
        <f aca="false">SUM(K534:K538)</f>
        <v>0.332694077173714</v>
      </c>
      <c r="L539" s="56" t="n">
        <f aca="false">SUM(D539:K539)</f>
        <v>1.85696247042771</v>
      </c>
    </row>
    <row r="540" customFormat="false" ht="15" hidden="false" customHeight="false" outlineLevel="0" collapsed="false">
      <c r="A540" s="41" t="n">
        <v>135</v>
      </c>
      <c r="B540" s="17" t="s">
        <v>351</v>
      </c>
      <c r="C540" s="11" t="s">
        <v>275</v>
      </c>
      <c r="D540" s="56" t="n">
        <f aca="false">D533-D539</f>
        <v>0.0451684712561657</v>
      </c>
      <c r="E540" s="56" t="n">
        <f aca="false">E533-E539</f>
        <v>0.17284579330554</v>
      </c>
      <c r="F540" s="56" t="n">
        <f aca="false">F533-F539</f>
        <v>0.392087828692929</v>
      </c>
      <c r="G540" s="56" t="n">
        <f aca="false">G533-G539</f>
        <v>0.661789099871357</v>
      </c>
      <c r="H540" s="56" t="n">
        <f aca="false">H533-H539</f>
        <v>0.950153816297623</v>
      </c>
      <c r="I540" s="56" t="n">
        <f aca="false">I533-I539</f>
        <v>1.20370747363521</v>
      </c>
      <c r="J540" s="56" t="n">
        <f aca="false">J533-J539</f>
        <v>1.43444257336049</v>
      </c>
      <c r="K540" s="56" t="n">
        <f aca="false">K533-K539</f>
        <v>1.62094005294174</v>
      </c>
      <c r="L540" s="56" t="n">
        <f aca="false">SUM(D540:K540)</f>
        <v>6.48113510936106</v>
      </c>
    </row>
    <row r="541" customFormat="false" ht="15" hidden="false" customHeight="false" outlineLevel="0" collapsed="false">
      <c r="A541" s="46"/>
      <c r="B541" s="47" t="s">
        <v>359</v>
      </c>
      <c r="C541" s="46"/>
      <c r="D541" s="46"/>
      <c r="E541" s="46"/>
      <c r="F541" s="46"/>
      <c r="G541" s="46"/>
      <c r="H541" s="46"/>
      <c r="I541" s="46"/>
      <c r="J541" s="46"/>
      <c r="K541" s="46"/>
      <c r="L541" s="46"/>
    </row>
    <row r="542" customFormat="false" ht="15" hidden="false" customHeight="false" outlineLevel="0" collapsed="false">
      <c r="A542" s="41" t="n">
        <v>136</v>
      </c>
      <c r="B542" s="17" t="s">
        <v>320</v>
      </c>
      <c r="C542" s="11" t="s">
        <v>316</v>
      </c>
      <c r="D542" s="52" t="n">
        <f aca="false">D406+D440+D475+D512</f>
        <v>0.215317521428571</v>
      </c>
      <c r="E542" s="52" t="n">
        <f aca="false">E406+E440+E475+E512</f>
        <v>0.669973435714286</v>
      </c>
      <c r="F542" s="52" t="n">
        <f aca="false">F406+F440+F475+F512</f>
        <v>1.38798861428571</v>
      </c>
      <c r="G542" s="52" t="n">
        <f aca="false">G406+G440+G475+G512</f>
        <v>2.15404553571429</v>
      </c>
      <c r="H542" s="52" t="n">
        <f aca="false">H406+H440+H475+H512</f>
        <v>2.9681442</v>
      </c>
      <c r="I542" s="52" t="n">
        <f aca="false">I406+I440+I475+I512</f>
        <v>3.5749323</v>
      </c>
      <c r="J542" s="52" t="n">
        <f aca="false">J406+J440+J475+J512</f>
        <v>4.21374822857143</v>
      </c>
      <c r="K542" s="52" t="n">
        <f aca="false">K406+K440+K475+K512</f>
        <v>4.61322576428572</v>
      </c>
      <c r="L542" s="58" t="n">
        <f aca="false">K542</f>
        <v>4.61322576428572</v>
      </c>
    </row>
    <row r="543" customFormat="false" ht="15" hidden="false" customHeight="false" outlineLevel="0" collapsed="false">
      <c r="A543" s="41" t="n">
        <v>137</v>
      </c>
      <c r="B543" s="21" t="s">
        <v>321</v>
      </c>
      <c r="C543" s="11" t="s">
        <v>316</v>
      </c>
      <c r="D543" s="50" t="n">
        <f aca="false">D407+D441+D476+D513</f>
        <v>0.215317521428571</v>
      </c>
      <c r="E543" s="50" t="n">
        <f aca="false">E407+E441+E476+E513</f>
        <v>0.454655914285714</v>
      </c>
      <c r="F543" s="50" t="n">
        <f aca="false">F407+F441+F476+F513</f>
        <v>0.718015178571429</v>
      </c>
      <c r="G543" s="50" t="n">
        <f aca="false">G407+G441+G476+G513</f>
        <v>0.766056921428572</v>
      </c>
      <c r="H543" s="50" t="n">
        <f aca="false">H407+H441+H476+H513</f>
        <v>0.814098664285714</v>
      </c>
      <c r="I543" s="50" t="n">
        <f aca="false">I407+I441+I476+I513</f>
        <v>0.606788099999999</v>
      </c>
      <c r="J543" s="50" t="n">
        <f aca="false">J407+J441+J476+J513</f>
        <v>0.638815928571429</v>
      </c>
      <c r="K543" s="50" t="n">
        <f aca="false">K407+K441+K476+K513</f>
        <v>0.399477535714286</v>
      </c>
      <c r="L543" s="52" t="n">
        <f aca="false">SUM(D543:K543)</f>
        <v>4.61322576428572</v>
      </c>
    </row>
    <row r="544" customFormat="false" ht="15" hidden="false" customHeight="false" outlineLevel="0" collapsed="false">
      <c r="A544" s="41" t="n">
        <v>138</v>
      </c>
      <c r="B544" s="17" t="s">
        <v>324</v>
      </c>
      <c r="C544" s="11" t="s">
        <v>316</v>
      </c>
      <c r="D544" s="52" t="n">
        <f aca="false">D410+D444+D479+D516</f>
        <v>0.4074473895</v>
      </c>
      <c r="E544" s="52" t="n">
        <f aca="false">E410+E444+E479+E516</f>
        <v>1.26995026671429</v>
      </c>
      <c r="F544" s="52" t="n">
        <f aca="false">F410+F444+F479+F516</f>
        <v>2.63535693857143</v>
      </c>
      <c r="G544" s="52" t="n">
        <f aca="false">G410+G444+G479+G516</f>
        <v>4.09885360821429</v>
      </c>
      <c r="H544" s="52" t="n">
        <f aca="false">H410+H444+H479+H516</f>
        <v>5.66092069307143</v>
      </c>
      <c r="I544" s="52" t="n">
        <f aca="false">I410+I444+I479+I516</f>
        <v>6.83883301607143</v>
      </c>
      <c r="J544" s="52" t="n">
        <f aca="false">J410+J444+J479+J516</f>
        <v>8.08341978407143</v>
      </c>
      <c r="K544" s="52" t="n">
        <f aca="false">K410+K444+K479+K516</f>
        <v>8.88149239885714</v>
      </c>
      <c r="L544" s="58" t="n">
        <f aca="false">K544</f>
        <v>8.88149239885714</v>
      </c>
    </row>
    <row r="545" customFormat="false" ht="15" hidden="false" customHeight="false" outlineLevel="0" collapsed="false">
      <c r="A545" s="41" t="n">
        <v>139</v>
      </c>
      <c r="B545" s="21" t="s">
        <v>325</v>
      </c>
      <c r="C545" s="11" t="s">
        <v>316</v>
      </c>
      <c r="D545" s="50" t="n">
        <f aca="false">D411+D445+D480+D517</f>
        <v>0.218282636935714</v>
      </c>
      <c r="E545" s="50" t="n">
        <f aca="false">E411+E445+E480+E517</f>
        <v>0.680044115271429</v>
      </c>
      <c r="F545" s="50" t="n">
        <f aca="false">F411+F445+F480+F517</f>
        <v>1.410574857</v>
      </c>
      <c r="G545" s="50" t="n">
        <f aca="false">G411+G445+G480+G517</f>
        <v>2.19262520432143</v>
      </c>
      <c r="H545" s="50" t="n">
        <f aca="false">H411+H445+H480+H517</f>
        <v>3.02638359229286</v>
      </c>
      <c r="I545" s="50" t="n">
        <f aca="false">I411+I445+I480+I517</f>
        <v>3.65316971839286</v>
      </c>
      <c r="J545" s="50" t="n">
        <f aca="false">J411+J445+J480+J517</f>
        <v>4.31480474170714</v>
      </c>
      <c r="K545" s="50" t="n">
        <f aca="false">K411+K445+K480+K517</f>
        <v>4.73631110777143</v>
      </c>
      <c r="L545" s="51" t="n">
        <f aca="false">K545</f>
        <v>4.73631110777143</v>
      </c>
    </row>
    <row r="546" customFormat="false" ht="15" hidden="false" customHeight="false" outlineLevel="0" collapsed="false">
      <c r="A546" s="41" t="n">
        <v>140</v>
      </c>
      <c r="B546" s="17" t="s">
        <v>360</v>
      </c>
      <c r="C546" s="11" t="s">
        <v>275</v>
      </c>
      <c r="D546" s="54" t="n">
        <f aca="false">D414+D448+D484</f>
        <v>212.41764</v>
      </c>
      <c r="E546" s="54" t="n">
        <f aca="false">E414+E448+E484</f>
        <v>660.95028</v>
      </c>
      <c r="F546" s="54" t="n">
        <f aca="false">F414+F448+F484</f>
        <v>1369.29528</v>
      </c>
      <c r="G546" s="54" t="n">
        <f aca="false">G414+G448+G484</f>
        <v>2125.035</v>
      </c>
      <c r="H546" s="54" t="n">
        <f aca="false">H414+H448+H484</f>
        <v>2928.16944</v>
      </c>
      <c r="I546" s="54" t="n">
        <f aca="false">I414+I448+I484</f>
        <v>3526.78536</v>
      </c>
      <c r="J546" s="54" t="n">
        <f aca="false">J414+J448+J484</f>
        <v>4156.99776</v>
      </c>
      <c r="K546" s="54" t="n">
        <f aca="false">K414+K448+K484</f>
        <v>4551.09516</v>
      </c>
      <c r="L546" s="54" t="n">
        <f aca="false">SUM(D546:K546)</f>
        <v>19530.74592</v>
      </c>
    </row>
    <row r="547" customFormat="false" ht="15" hidden="false" customHeight="false" outlineLevel="0" collapsed="false">
      <c r="A547" s="41" t="n">
        <v>141</v>
      </c>
      <c r="B547" s="21" t="s">
        <v>330</v>
      </c>
      <c r="C547" s="11" t="s">
        <v>275</v>
      </c>
      <c r="D547" s="53" t="n">
        <f aca="false">D416+D450+D486+D520</f>
        <v>39.0696730714286</v>
      </c>
      <c r="E547" s="53" t="n">
        <f aca="false">E416+E450+E486+E520</f>
        <v>121.567640785714</v>
      </c>
      <c r="F547" s="53" t="n">
        <f aca="false">F416+F450+F486+F520</f>
        <v>251.852524714286</v>
      </c>
      <c r="G547" s="53" t="n">
        <f aca="false">G416+G450+G486+G520</f>
        <v>390.854651785714</v>
      </c>
      <c r="H547" s="53" t="n">
        <f aca="false">H416+H450+H486+H520</f>
        <v>538.574022</v>
      </c>
      <c r="I547" s="53" t="n">
        <f aca="false">I416+I450+I486+I520</f>
        <v>648.676593</v>
      </c>
      <c r="J547" s="53" t="n">
        <f aca="false">J416+J450+J486+J520</f>
        <v>764.590659428572</v>
      </c>
      <c r="K547" s="53" t="n">
        <f aca="false">K416+K450+K486+K520</f>
        <v>837.076431214286</v>
      </c>
      <c r="L547" s="54" t="n">
        <f aca="false">SUM(D547:K547)</f>
        <v>3592.262196</v>
      </c>
    </row>
    <row r="548" customFormat="false" ht="15" hidden="false" customHeight="false" outlineLevel="0" collapsed="false">
      <c r="A548" s="41" t="n">
        <v>142</v>
      </c>
      <c r="B548" s="21" t="s">
        <v>353</v>
      </c>
      <c r="C548" s="11" t="s">
        <v>275</v>
      </c>
      <c r="D548" s="53" t="n">
        <f aca="false">D451+D487+D521</f>
        <v>53.1879075</v>
      </c>
      <c r="E548" s="53" t="n">
        <f aca="false">E451+E487+E521</f>
        <v>165.4973775</v>
      </c>
      <c r="F548" s="53" t="n">
        <f aca="false">F451+F487+F521</f>
        <v>342.862065</v>
      </c>
      <c r="G548" s="53" t="n">
        <f aca="false">G451+G487+G521</f>
        <v>532.0940625</v>
      </c>
      <c r="H548" s="53" t="n">
        <f aca="false">H451+H487+H521</f>
        <v>733.19337</v>
      </c>
      <c r="I548" s="53" t="n">
        <f aca="false">I451+I487+I521</f>
        <v>883.082655</v>
      </c>
      <c r="J548" s="53" t="n">
        <f aca="false">J451+J487+J521</f>
        <v>1040.88348</v>
      </c>
      <c r="K548" s="53" t="n">
        <f aca="false">K451+K487+K521</f>
        <v>1139.5627425</v>
      </c>
      <c r="L548" s="54" t="n">
        <f aca="false">SUM(D548:K548)</f>
        <v>4890.36366</v>
      </c>
    </row>
    <row r="549" customFormat="false" ht="15" hidden="false" customHeight="false" outlineLevel="0" collapsed="false">
      <c r="A549" s="41" t="n">
        <v>143</v>
      </c>
      <c r="B549" s="21" t="s">
        <v>361</v>
      </c>
      <c r="C549" s="11" t="s">
        <v>275</v>
      </c>
      <c r="D549" s="53" t="n">
        <f aca="false">D417+D452+D488+D522</f>
        <v>15.9016126809857</v>
      </c>
      <c r="E549" s="53" t="n">
        <f aca="false">E417+E452+E488+E522</f>
        <v>49.5335669911714</v>
      </c>
      <c r="F549" s="53" t="n">
        <f aca="false">F417+F452+F488+F522</f>
        <v>102.730698846</v>
      </c>
      <c r="G549" s="53" t="n">
        <f aca="false">G417+G452+G488+G522</f>
        <v>159.658350937071</v>
      </c>
      <c r="H549" s="53" t="n">
        <f aca="false">H417+H452+H488+H522</f>
        <v>220.328737198843</v>
      </c>
      <c r="I549" s="53" t="n">
        <f aca="false">I417+I452+I488+I522</f>
        <v>265.895813034643</v>
      </c>
      <c r="J549" s="53" t="n">
        <f aca="false">J417+J452+J488+J522</f>
        <v>313.982472853157</v>
      </c>
      <c r="K549" s="53" t="n">
        <f aca="false">K417+K452+K488+K522</f>
        <v>344.555942406171</v>
      </c>
      <c r="L549" s="54" t="n">
        <f aca="false">SUM(D549:K549)</f>
        <v>1472.58719494804</v>
      </c>
    </row>
    <row r="550" customFormat="false" ht="15" hidden="false" customHeight="false" outlineLevel="0" collapsed="false">
      <c r="A550" s="41" t="n">
        <v>144</v>
      </c>
      <c r="B550" s="21" t="s">
        <v>333</v>
      </c>
      <c r="C550" s="11" t="s">
        <v>275</v>
      </c>
      <c r="D550" s="53" t="n">
        <f aca="false">D419+D454+D490+D524</f>
        <v>9.809524267875</v>
      </c>
      <c r="E550" s="53" t="n">
        <f aca="false">E419+E454+E490+E524</f>
        <v>40.3745558192679</v>
      </c>
      <c r="F550" s="53" t="n">
        <f aca="false">F419+F454+F490+F524</f>
        <v>103.782233772482</v>
      </c>
      <c r="G550" s="53" t="n">
        <f aca="false">G419+G454+G490+G524</f>
        <v>202.36167368775</v>
      </c>
      <c r="H550" s="53" t="n">
        <f aca="false">H419+H454+H490+H524</f>
        <v>338.451385835089</v>
      </c>
      <c r="I550" s="53" t="n">
        <f aca="false">I419+I454+I490+I524</f>
        <v>502.765829680179</v>
      </c>
      <c r="J550" s="53" t="n">
        <f aca="false">J419+J454+J490+J524</f>
        <v>696.882801489268</v>
      </c>
      <c r="K550" s="53" t="n">
        <f aca="false">K419+K454+K490+K524</f>
        <v>910.023346655839</v>
      </c>
      <c r="L550" s="54" t="n">
        <f aca="false">SUM(D550:K550)</f>
        <v>2804.45135120775</v>
      </c>
    </row>
    <row r="551" customFormat="false" ht="15" hidden="false" customHeight="false" outlineLevel="0" collapsed="false">
      <c r="A551" s="41" t="n">
        <v>145</v>
      </c>
      <c r="B551" s="21" t="s">
        <v>334</v>
      </c>
      <c r="C551" s="11" t="s">
        <v>275</v>
      </c>
      <c r="D551" s="53" t="n">
        <f aca="false">D420+D455+D491+D525</f>
        <v>5.61413333571429</v>
      </c>
      <c r="E551" s="53" t="n">
        <f aca="false">E420+E455+E491+E525</f>
        <v>23.0828473285714</v>
      </c>
      <c r="F551" s="53" t="n">
        <f aca="false">F420+F455+F491+F525</f>
        <v>59.2729032857143</v>
      </c>
      <c r="G551" s="53" t="n">
        <f aca="false">G420+G455+G491+G525</f>
        <v>115.436929178571</v>
      </c>
      <c r="H551" s="53" t="n">
        <f aca="false">H420+H455+H491+H525</f>
        <v>192.827552978571</v>
      </c>
      <c r="I551" s="53" t="n">
        <f aca="false">I420+I455+I491+I525</f>
        <v>286.039412678571</v>
      </c>
      <c r="J551" s="53" t="n">
        <f aca="false">J420+J455+J491+J525</f>
        <v>395.907593592857</v>
      </c>
      <c r="K551" s="53" t="n">
        <f aca="false">K420+K455+K491+K525</f>
        <v>516.1916484</v>
      </c>
      <c r="L551" s="54" t="n">
        <f aca="false">SUM(D551:K551)</f>
        <v>1594.37302077857</v>
      </c>
    </row>
    <row r="552" customFormat="false" ht="15" hidden="false" customHeight="false" outlineLevel="0" collapsed="false">
      <c r="A552" s="41" t="n">
        <v>146</v>
      </c>
      <c r="B552" s="17" t="s">
        <v>335</v>
      </c>
      <c r="C552" s="11" t="s">
        <v>275</v>
      </c>
      <c r="D552" s="55" t="n">
        <f aca="false">D421+D456+D492+D526</f>
        <v>123.582850856004</v>
      </c>
      <c r="E552" s="55" t="n">
        <f aca="false">E421+E456+E492+E526</f>
        <v>400.055988424725</v>
      </c>
      <c r="F552" s="55" t="n">
        <f aca="false">F421+F456+F492+F526</f>
        <v>860.500425618482</v>
      </c>
      <c r="G552" s="55" t="n">
        <f aca="false">G421+G456+G492+G526</f>
        <v>1400.40566808911</v>
      </c>
      <c r="H552" s="55" t="n">
        <f aca="false">H421+H456+H492+H526</f>
        <v>2023.3750680125</v>
      </c>
      <c r="I552" s="55" t="n">
        <f aca="false">I421+I456+I492+I526</f>
        <v>2586.46030339339</v>
      </c>
      <c r="J552" s="55" t="n">
        <f aca="false">J421+J456+J492+J526</f>
        <v>3212.24700736385</v>
      </c>
      <c r="K552" s="55" t="n">
        <f aca="false">K421+K456+K492+K526</f>
        <v>3747.4101111763</v>
      </c>
      <c r="L552" s="55" t="n">
        <f aca="false">SUM(D552:K552)</f>
        <v>14354.0374229344</v>
      </c>
    </row>
    <row r="553" customFormat="false" ht="15" hidden="false" customHeight="false" outlineLevel="0" collapsed="false">
      <c r="A553" s="41" t="n">
        <v>147</v>
      </c>
      <c r="B553" s="21" t="s">
        <v>335</v>
      </c>
      <c r="C553" s="11" t="s">
        <v>362</v>
      </c>
      <c r="D553" s="50" t="n">
        <f aca="false">D552/100000</f>
        <v>0.00123582850856004</v>
      </c>
      <c r="E553" s="50" t="n">
        <f aca="false">E552/100000</f>
        <v>0.00400055988424725</v>
      </c>
      <c r="F553" s="50" t="n">
        <f aca="false">F552/100000</f>
        <v>0.00860500425618482</v>
      </c>
      <c r="G553" s="50" t="n">
        <f aca="false">G552/100000</f>
        <v>0.0140040566808911</v>
      </c>
      <c r="H553" s="50" t="n">
        <f aca="false">H552/100000</f>
        <v>0.020233750680125</v>
      </c>
      <c r="I553" s="50" t="n">
        <f aca="false">I552/100000</f>
        <v>0.0258646030339339</v>
      </c>
      <c r="J553" s="50" t="n">
        <f aca="false">J552/100000</f>
        <v>0.0321224700736385</v>
      </c>
      <c r="K553" s="50" t="n">
        <f aca="false">K552/100000</f>
        <v>0.037474101111763</v>
      </c>
      <c r="L553" s="52" t="n">
        <f aca="false">SUM(D553:K553)</f>
        <v>0.143540374229344</v>
      </c>
    </row>
    <row r="554" customFormat="false" ht="15" hidden="false" customHeight="false" outlineLevel="0" collapsed="false">
      <c r="A554" s="41" t="n">
        <v>148</v>
      </c>
      <c r="B554" s="21" t="s">
        <v>363</v>
      </c>
      <c r="C554" s="11" t="s">
        <v>362</v>
      </c>
      <c r="D554" s="42" t="n">
        <f aca="false">Baseline!E15</f>
        <v>7.94869047619048</v>
      </c>
      <c r="E554" s="42" t="n">
        <f aca="false">Baseline!E16</f>
        <v>8.29714285714286</v>
      </c>
      <c r="F554" s="42" t="n">
        <f aca="false">Baseline!E17</f>
        <v>8.64559523809524</v>
      </c>
      <c r="G554" s="42" t="n">
        <f aca="false">Baseline!E18</f>
        <v>8.99404761904762</v>
      </c>
      <c r="H554" s="42" t="n">
        <f aca="false">Baseline!E19</f>
        <v>9.3425</v>
      </c>
      <c r="I554" s="42" t="n">
        <f aca="false">Baseline!E20</f>
        <v>9.69095238095238</v>
      </c>
      <c r="J554" s="42" t="n">
        <f aca="false">Baseline!E21</f>
        <v>10.0394047619048</v>
      </c>
      <c r="K554" s="42" t="n">
        <f aca="false">Baseline!E22</f>
        <v>10.3878571428571</v>
      </c>
      <c r="L554" s="56" t="n">
        <f aca="false">SUM(D554:K554)</f>
        <v>73.3461904761905</v>
      </c>
    </row>
    <row r="555" customFormat="false" ht="15" hidden="false" customHeight="false" outlineLevel="0" collapsed="false">
      <c r="A555" s="41" t="n">
        <v>149</v>
      </c>
      <c r="B555" s="21" t="s">
        <v>364</v>
      </c>
      <c r="C555" s="11" t="s">
        <v>365</v>
      </c>
      <c r="D555" s="59" t="n">
        <f aca="false">IF(D554&gt;0,D553/D554,0)</f>
        <v>0.000155475736822542</v>
      </c>
      <c r="E555" s="59" t="n">
        <f aca="false">IF(E554&gt;0,E553/E554,0)</f>
        <v>0.000482161143073877</v>
      </c>
      <c r="F555" s="59" t="n">
        <f aca="false">IF(F554&gt;0,F553/F554,0)</f>
        <v>0.000995305010147646</v>
      </c>
      <c r="G555" s="59" t="n">
        <f aca="false">IF(G554&gt;0,G553/G554,0)</f>
        <v>0.00155703608364639</v>
      </c>
      <c r="H555" s="59" t="n">
        <f aca="false">IF(H554&gt;0,H553/H554,0)</f>
        <v>0.00216577475837571</v>
      </c>
      <c r="I555" s="59" t="n">
        <f aca="false">IF(I554&gt;0,I553/I554,0)</f>
        <v>0.0026689433625503</v>
      </c>
      <c r="J555" s="59" t="n">
        <f aca="false">IF(J554&gt;0,J553/J554,0)</f>
        <v>0.00319963890643493</v>
      </c>
      <c r="K555" s="59" t="n">
        <f aca="false">IF(K554&gt;0,K553/K554,0)</f>
        <v>0.00360749099611278</v>
      </c>
      <c r="L555" s="60" t="n">
        <f aca="false">IF(L554&gt;0,L553/L554,0)</f>
        <v>0.00195702562460881</v>
      </c>
    </row>
    <row r="556" customFormat="false" ht="15" hidden="false" customHeight="false" outlineLevel="0" collapsed="false">
      <c r="A556" s="41" t="n">
        <v>150</v>
      </c>
      <c r="B556" s="21" t="s">
        <v>336</v>
      </c>
      <c r="C556" s="11" t="s">
        <v>275</v>
      </c>
      <c r="D556" s="24" t="n">
        <f aca="false">D422+D457+D493+D527</f>
        <v>1.93139816721429</v>
      </c>
      <c r="E556" s="24" t="n">
        <f aca="false">E422+E457+E493+E527</f>
        <v>6.00966171835714</v>
      </c>
      <c r="F556" s="24" t="n">
        <f aca="false">F422+F457+F493+F527</f>
        <v>12.4502578701429</v>
      </c>
      <c r="G556" s="24" t="n">
        <f aca="false">G422+G457+G493+G527</f>
        <v>19.3217884553571</v>
      </c>
      <c r="H556" s="24" t="n">
        <f aca="false">H422+H457+H493+H527</f>
        <v>26.624253474</v>
      </c>
      <c r="I556" s="24" t="n">
        <f aca="false">I422+I457+I493+I527</f>
        <v>32.067142731</v>
      </c>
      <c r="J556" s="24" t="n">
        <f aca="false">J422+J457+J493+J527</f>
        <v>37.7973216102857</v>
      </c>
      <c r="K556" s="24" t="n">
        <f aca="false">K422+K457+K493+K527</f>
        <v>41.3806351056429</v>
      </c>
      <c r="L556" s="56" t="n">
        <f aca="false">SUM(D556:K556)</f>
        <v>177.582459132</v>
      </c>
    </row>
    <row r="557" customFormat="false" ht="15" hidden="false" customHeight="false" outlineLevel="0" collapsed="false">
      <c r="A557" s="41" t="n">
        <v>151</v>
      </c>
      <c r="B557" s="21" t="s">
        <v>356</v>
      </c>
      <c r="C557" s="11" t="s">
        <v>275</v>
      </c>
      <c r="D557" s="24" t="n">
        <f aca="false">D494+D528</f>
        <v>0.106101466071429</v>
      </c>
      <c r="E557" s="24" t="n">
        <f aca="false">E494+E528</f>
        <v>0.330141101785714</v>
      </c>
      <c r="F557" s="24" t="n">
        <f aca="false">F494+F528</f>
        <v>0.683955610714286</v>
      </c>
      <c r="G557" s="24" t="n">
        <f aca="false">G494+G528</f>
        <v>1.06144352678571</v>
      </c>
      <c r="H557" s="24" t="n">
        <f aca="false">H494+H528</f>
        <v>1.46260485</v>
      </c>
      <c r="I557" s="24" t="n">
        <f aca="false">I494+I528</f>
        <v>1.761610275</v>
      </c>
      <c r="J557" s="24" t="n">
        <f aca="false">J494+J528</f>
        <v>2.07639797142857</v>
      </c>
      <c r="K557" s="24" t="n">
        <f aca="false">K494+K528</f>
        <v>2.27324749821429</v>
      </c>
      <c r="L557" s="56" t="n">
        <f aca="false">SUM(D557:K557)</f>
        <v>9.7555023</v>
      </c>
    </row>
    <row r="558" customFormat="false" ht="15" hidden="false" customHeight="false" outlineLevel="0" collapsed="false">
      <c r="A558" s="41" t="n">
        <v>152</v>
      </c>
      <c r="B558" s="21" t="s">
        <v>337</v>
      </c>
      <c r="C558" s="11" t="s">
        <v>275</v>
      </c>
      <c r="D558" s="24" t="n">
        <f aca="false">D423+D458+D495+D529</f>
        <v>0.975723387102643</v>
      </c>
      <c r="E558" s="24" t="n">
        <f aca="false">E423+E458+E495+E529</f>
        <v>3.03979719526329</v>
      </c>
      <c r="F558" s="24" t="n">
        <f aca="false">F423+F458+F495+F529</f>
        <v>6.30526961079</v>
      </c>
      <c r="G558" s="24" t="n">
        <f aca="false">G423+G458+G495+G529</f>
        <v>9.80103466331678</v>
      </c>
      <c r="H558" s="24" t="n">
        <f aca="false">H423+H458+H495+H529</f>
        <v>13.5279346575491</v>
      </c>
      <c r="I558" s="24" t="n">
        <f aca="false">I423+I458+I495+I529</f>
        <v>16.3296686412161</v>
      </c>
      <c r="J558" s="24" t="n">
        <f aca="false">J423+J458+J495+J529</f>
        <v>19.2871771954309</v>
      </c>
      <c r="K558" s="24" t="n">
        <f aca="false">K423+K458+K495+K529</f>
        <v>21.1713106517383</v>
      </c>
      <c r="L558" s="56" t="n">
        <f aca="false">SUM(D558:K558)</f>
        <v>90.4379160024071</v>
      </c>
    </row>
    <row r="559" customFormat="false" ht="15" hidden="false" customHeight="false" outlineLevel="0" collapsed="false">
      <c r="A559" s="41" t="n">
        <v>153</v>
      </c>
      <c r="B559" s="21" t="s">
        <v>338</v>
      </c>
      <c r="C559" s="11" t="s">
        <v>275</v>
      </c>
      <c r="D559" s="24" t="n">
        <f aca="false">D424+D459+D496+D530</f>
        <v>0.288740796235714</v>
      </c>
      <c r="E559" s="24" t="n">
        <f aca="false">E424+E459+E496+E530</f>
        <v>0.898434377292857</v>
      </c>
      <c r="F559" s="24" t="n">
        <f aca="false">F424+F459+F496+F530</f>
        <v>1.86129273175714</v>
      </c>
      <c r="G559" s="24" t="n">
        <f aca="false">G424+G459+G496+G530</f>
        <v>2.88857506339286</v>
      </c>
      <c r="H559" s="24" t="n">
        <f aca="false">H424+H459+H496+H530</f>
        <v>3.9802813722</v>
      </c>
      <c r="I559" s="24" t="n">
        <f aca="false">I424+I459+I496+I530</f>
        <v>4.7939842143</v>
      </c>
      <c r="J559" s="24" t="n">
        <f aca="false">J424+J459+J496+J530</f>
        <v>5.65063637451429</v>
      </c>
      <c r="K559" s="24" t="n">
        <f aca="false">K424+K459+K496+K530</f>
        <v>6.18633574990714</v>
      </c>
      <c r="L559" s="56" t="n">
        <f aca="false">SUM(D559:K559)</f>
        <v>26.5482806796</v>
      </c>
    </row>
    <row r="560" customFormat="false" ht="15" hidden="false" customHeight="false" outlineLevel="0" collapsed="false">
      <c r="A560" s="41" t="n">
        <v>154</v>
      </c>
      <c r="B560" s="21" t="s">
        <v>366</v>
      </c>
      <c r="C560" s="11" t="s">
        <v>275</v>
      </c>
      <c r="D560" s="24" t="n">
        <f aca="false">D425+D460+D497</f>
        <v>5.310441</v>
      </c>
      <c r="E560" s="24" t="n">
        <f aca="false">E425+E460+E497</f>
        <v>16.523757</v>
      </c>
      <c r="F560" s="24" t="n">
        <f aca="false">F425+F460+F497</f>
        <v>34.232382</v>
      </c>
      <c r="G560" s="24" t="n">
        <f aca="false">G425+G460+G497</f>
        <v>53.125875</v>
      </c>
      <c r="H560" s="24" t="n">
        <f aca="false">H425+H460+H497</f>
        <v>73.204236</v>
      </c>
      <c r="I560" s="24" t="n">
        <f aca="false">I425+I460+I497</f>
        <v>88.169634</v>
      </c>
      <c r="J560" s="24" t="n">
        <f aca="false">J425+J460+J497</f>
        <v>103.924944</v>
      </c>
      <c r="K560" s="24" t="n">
        <f aca="false">K425+K460+K497</f>
        <v>113.777379</v>
      </c>
      <c r="L560" s="56" t="n">
        <f aca="false">SUM(D560:K560)</f>
        <v>488.268648</v>
      </c>
    </row>
    <row r="561" customFormat="false" ht="15" hidden="false" customHeight="false" outlineLevel="0" collapsed="false">
      <c r="A561" s="41" t="n">
        <v>155</v>
      </c>
      <c r="B561" s="21" t="s">
        <v>340</v>
      </c>
      <c r="C561" s="11" t="s">
        <v>275</v>
      </c>
      <c r="D561" s="24" t="n">
        <f aca="false">D426+D461+D498+D531</f>
        <v>0.0494331403424014</v>
      </c>
      <c r="E561" s="24" t="n">
        <f aca="false">E426+E461+E498+E531</f>
        <v>0.16002239536989</v>
      </c>
      <c r="F561" s="24" t="n">
        <f aca="false">F426+F461+F498+F531</f>
        <v>0.344200170247393</v>
      </c>
      <c r="G561" s="24" t="n">
        <f aca="false">G426+G461+G498+G531</f>
        <v>0.560162267235643</v>
      </c>
      <c r="H561" s="24" t="n">
        <f aca="false">H426+H461+H498+H531</f>
        <v>0.809350027205002</v>
      </c>
      <c r="I561" s="24" t="n">
        <f aca="false">I426+I461+I498+I531</f>
        <v>1.03458412135736</v>
      </c>
      <c r="J561" s="24" t="n">
        <f aca="false">J426+J461+J498+J531</f>
        <v>1.28489880294554</v>
      </c>
      <c r="K561" s="24" t="n">
        <f aca="false">K426+K461+K498+K531</f>
        <v>1.49896404447052</v>
      </c>
      <c r="L561" s="56" t="n">
        <f aca="false">SUM(D561:K561)</f>
        <v>5.74161496917375</v>
      </c>
    </row>
    <row r="562" customFormat="false" ht="15" hidden="false" customHeight="false" outlineLevel="0" collapsed="false">
      <c r="A562" s="41" t="n">
        <v>156</v>
      </c>
      <c r="B562" s="21" t="s">
        <v>341</v>
      </c>
      <c r="C562" s="11" t="s">
        <v>275</v>
      </c>
      <c r="D562" s="24" t="n">
        <f aca="false">D427+D462+D499+D532</f>
        <v>0.0156270919066071</v>
      </c>
      <c r="E562" s="24" t="n">
        <f aca="false">E427+E462+E499+E532</f>
        <v>0.0643001759791071</v>
      </c>
      <c r="F562" s="24" t="n">
        <f aca="false">F427+F462+F499+F532</f>
        <v>0.165235365525536</v>
      </c>
      <c r="G562" s="24" t="n">
        <f aca="false">G427+G462+G499+G532</f>
        <v>0.322080937781786</v>
      </c>
      <c r="H562" s="24" t="n">
        <f aca="false">H427+H462+H499+H532</f>
        <v>0.538495979375893</v>
      </c>
      <c r="I562" s="24" t="n">
        <f aca="false">I427+I462+I499+I532</f>
        <v>0.7996176912375</v>
      </c>
      <c r="J562" s="24" t="n">
        <f aca="false">J427+J462+J499+J532</f>
        <v>1.10790708323625</v>
      </c>
      <c r="K562" s="24" t="n">
        <f aca="false">K427+K462+K499+K532</f>
        <v>1.44613743513911</v>
      </c>
      <c r="L562" s="56" t="n">
        <f aca="false">SUM(D562:K562)</f>
        <v>4.45940176018179</v>
      </c>
    </row>
    <row r="563" customFormat="false" ht="15" hidden="false" customHeight="false" outlineLevel="0" collapsed="false">
      <c r="A563" s="41" t="n">
        <v>157</v>
      </c>
      <c r="B563" s="17" t="s">
        <v>342</v>
      </c>
      <c r="C563" s="11" t="s">
        <v>275</v>
      </c>
      <c r="D563" s="56" t="n">
        <f aca="false">SUM(D556:D562)</f>
        <v>8.67746504887308</v>
      </c>
      <c r="E563" s="56" t="n">
        <f aca="false">SUM(E556:E562)</f>
        <v>27.026113964048</v>
      </c>
      <c r="F563" s="56" t="n">
        <f aca="false">SUM(F556:F562)</f>
        <v>56.0425933591772</v>
      </c>
      <c r="G563" s="56" t="n">
        <f aca="false">SUM(G556:G562)</f>
        <v>87.08095991387</v>
      </c>
      <c r="H563" s="56" t="n">
        <f aca="false">SUM(H556:H562)</f>
        <v>120.14715636033</v>
      </c>
      <c r="I563" s="56" t="n">
        <f aca="false">SUM(I556:I562)</f>
        <v>144.956241674111</v>
      </c>
      <c r="J563" s="56" t="n">
        <f aca="false">SUM(J556:J562)</f>
        <v>171.129283037841</v>
      </c>
      <c r="K563" s="56" t="n">
        <f aca="false">SUM(K556:K562)</f>
        <v>187.734009485112</v>
      </c>
      <c r="L563" s="56" t="n">
        <f aca="false">SUM(D563:K563)</f>
        <v>802.793822843363</v>
      </c>
    </row>
    <row r="564" customFormat="false" ht="15" hidden="false" customHeight="false" outlineLevel="0" collapsed="false">
      <c r="A564" s="41" t="n">
        <v>158</v>
      </c>
      <c r="B564" s="21" t="s">
        <v>343</v>
      </c>
      <c r="C564" s="11" t="s">
        <v>275</v>
      </c>
      <c r="D564" s="24" t="n">
        <f aca="false">D429+D464+D501+D534</f>
        <v>0.183351325275</v>
      </c>
      <c r="E564" s="24" t="n">
        <f aca="false">E429+E464+E501+E534</f>
        <v>0.571477620021429</v>
      </c>
      <c r="F564" s="24" t="n">
        <f aca="false">F429+F464+F501+F534</f>
        <v>1.18591062235714</v>
      </c>
      <c r="G564" s="24" t="n">
        <f aca="false">G429+G464+G501+G534</f>
        <v>1.84448412369643</v>
      </c>
      <c r="H564" s="24" t="n">
        <f aca="false">H429+H464+H501+H534</f>
        <v>2.54741431188214</v>
      </c>
      <c r="I564" s="24" t="n">
        <f aca="false">I429+I464+I501+I534</f>
        <v>3.07747485723214</v>
      </c>
      <c r="J564" s="24" t="n">
        <f aca="false">J429+J464+J501+J534</f>
        <v>3.63753890283214</v>
      </c>
      <c r="K564" s="24" t="n">
        <f aca="false">K429+K464+K501+K534</f>
        <v>3.99667157948571</v>
      </c>
      <c r="L564" s="56" t="n">
        <f aca="false">SUM(D564:K564)</f>
        <v>17.0443233427821</v>
      </c>
    </row>
    <row r="565" customFormat="false" ht="15" hidden="false" customHeight="false" outlineLevel="0" collapsed="false">
      <c r="A565" s="41" t="n">
        <v>159</v>
      </c>
      <c r="B565" s="21" t="s">
        <v>344</v>
      </c>
      <c r="C565" s="11" t="s">
        <v>275</v>
      </c>
      <c r="D565" s="24" t="n">
        <f aca="false">D430+D465+D502+D535</f>
        <v>0.117872623945286</v>
      </c>
      <c r="E565" s="24" t="n">
        <f aca="false">E430+E465+E502+E535</f>
        <v>0.367223822246571</v>
      </c>
      <c r="F565" s="24" t="n">
        <f aca="false">F430+F465+F502+F535</f>
        <v>0.76171042278</v>
      </c>
      <c r="G565" s="24" t="n">
        <f aca="false">G430+G465+G502+G535</f>
        <v>1.18401761033357</v>
      </c>
      <c r="H565" s="24" t="n">
        <f aca="false">H430+H465+H502+H535</f>
        <v>1.63424713983814</v>
      </c>
      <c r="I565" s="24" t="n">
        <f aca="false">I430+I465+I502+I535</f>
        <v>1.97271164793214</v>
      </c>
      <c r="J565" s="24" t="n">
        <f aca="false">J430+J465+J502+J535</f>
        <v>2.32999456052186</v>
      </c>
      <c r="K565" s="24" t="n">
        <f aca="false">K430+K465+K502+K535</f>
        <v>2.55760799819657</v>
      </c>
      <c r="L565" s="56" t="n">
        <f aca="false">SUM(D565:K565)</f>
        <v>10.9253858257941</v>
      </c>
    </row>
    <row r="566" customFormat="false" ht="15" hidden="false" customHeight="false" outlineLevel="0" collapsed="false">
      <c r="A566" s="41" t="n">
        <v>160</v>
      </c>
      <c r="B566" s="21" t="s">
        <v>345</v>
      </c>
      <c r="C566" s="11" t="s">
        <v>275</v>
      </c>
      <c r="D566" s="24" t="n">
        <f aca="false">D431+D466+D503+D536</f>
        <v>0.0645952564285714</v>
      </c>
      <c r="E566" s="24" t="n">
        <f aca="false">E431+E466+E503+E536</f>
        <v>0.200992030714286</v>
      </c>
      <c r="F566" s="24" t="n">
        <f aca="false">F431+F466+F503+F536</f>
        <v>0.416396584285714</v>
      </c>
      <c r="G566" s="24" t="n">
        <f aca="false">G431+G466+G503+G536</f>
        <v>0.646213660714286</v>
      </c>
      <c r="H566" s="24" t="n">
        <f aca="false">H431+H466+H503+H536</f>
        <v>0.89044326</v>
      </c>
      <c r="I566" s="24" t="n">
        <f aca="false">I431+I466+I503+I536</f>
        <v>1.07247969</v>
      </c>
      <c r="J566" s="24" t="n">
        <f aca="false">J431+J466+J503+J536</f>
        <v>1.26412446857143</v>
      </c>
      <c r="K566" s="24" t="n">
        <f aca="false">K431+K466+K503+K536</f>
        <v>1.38396772928571</v>
      </c>
      <c r="L566" s="56" t="n">
        <f aca="false">SUM(D566:K566)</f>
        <v>5.93921268</v>
      </c>
    </row>
    <row r="567" customFormat="false" ht="15" hidden="false" customHeight="false" outlineLevel="0" collapsed="false">
      <c r="A567" s="41" t="n">
        <v>161</v>
      </c>
      <c r="B567" s="21" t="s">
        <v>346</v>
      </c>
      <c r="C567" s="11" t="s">
        <v>275</v>
      </c>
      <c r="D567" s="24" t="n">
        <f aca="false">D432+D467+D504+D537</f>
        <v>0.09778737348</v>
      </c>
      <c r="E567" s="24" t="n">
        <f aca="false">E432+E467+E504+E537</f>
        <v>0.304788064011429</v>
      </c>
      <c r="F567" s="24" t="n">
        <f aca="false">F432+F467+F504+F537</f>
        <v>0.632485665257143</v>
      </c>
      <c r="G567" s="24" t="n">
        <f aca="false">G432+G467+G504+G537</f>
        <v>0.983724865971429</v>
      </c>
      <c r="H567" s="24" t="n">
        <f aca="false">H432+H467+H504+H537</f>
        <v>1.35862096633714</v>
      </c>
      <c r="I567" s="24" t="n">
        <f aca="false">I432+I467+I504+I537</f>
        <v>1.64131992385714</v>
      </c>
      <c r="J567" s="24" t="n">
        <f aca="false">J432+J467+J504+J537</f>
        <v>1.94002074817714</v>
      </c>
      <c r="K567" s="24" t="n">
        <f aca="false">K432+K467+K504+K537</f>
        <v>2.13155817572571</v>
      </c>
      <c r="L567" s="56" t="n">
        <f aca="false">SUM(D567:K567)</f>
        <v>9.09030578281714</v>
      </c>
    </row>
    <row r="568" customFormat="false" ht="15" hidden="false" customHeight="false" outlineLevel="0" collapsed="false">
      <c r="A568" s="41" t="n">
        <v>162</v>
      </c>
      <c r="B568" s="21" t="s">
        <v>347</v>
      </c>
      <c r="C568" s="11" t="s">
        <v>275</v>
      </c>
      <c r="D568" s="24" t="n">
        <f aca="false">D433+D468+D505+D538</f>
        <v>0.640492092857143</v>
      </c>
      <c r="E568" s="24" t="n">
        <f aca="false">E433+E468+E505+E538</f>
        <v>1.35243762857143</v>
      </c>
      <c r="F568" s="24" t="n">
        <f aca="false">F433+F468+F505+F538</f>
        <v>2.13583660714286</v>
      </c>
      <c r="G568" s="24" t="n">
        <f aca="false">G433+G468+G505+G538</f>
        <v>2.27874349285714</v>
      </c>
      <c r="H568" s="24" t="n">
        <f aca="false">H433+H468+H505+H538</f>
        <v>2.42165037857143</v>
      </c>
      <c r="I568" s="24" t="n">
        <f aca="false">I433+I468+I505+I538</f>
        <v>1.8049761</v>
      </c>
      <c r="J568" s="24" t="n">
        <f aca="false">J433+J468+J505+J538</f>
        <v>1.90024735714286</v>
      </c>
      <c r="K568" s="24" t="n">
        <f aca="false">K433+K468+K505+K538</f>
        <v>1.18830182142857</v>
      </c>
      <c r="L568" s="56" t="n">
        <f aca="false">SUM(D568:K568)</f>
        <v>13.7226854785714</v>
      </c>
    </row>
    <row r="569" customFormat="false" ht="15" hidden="false" customHeight="false" outlineLevel="0" collapsed="false">
      <c r="A569" s="41" t="n">
        <v>163</v>
      </c>
      <c r="B569" s="21" t="s">
        <v>348</v>
      </c>
      <c r="C569" s="11" t="s">
        <v>275</v>
      </c>
      <c r="D569" s="24" t="n">
        <f aca="false">D434+D469+D506</f>
        <v>0.42483528</v>
      </c>
      <c r="E569" s="24" t="n">
        <f aca="false">E434+E469+E506</f>
        <v>1.32190056</v>
      </c>
      <c r="F569" s="24" t="n">
        <f aca="false">F434+F469+F506</f>
        <v>2.73859056</v>
      </c>
      <c r="G569" s="24" t="n">
        <f aca="false">G434+G469+G506</f>
        <v>4.25007</v>
      </c>
      <c r="H569" s="24" t="n">
        <f aca="false">H434+H469+H506</f>
        <v>5.85633888</v>
      </c>
      <c r="I569" s="24" t="n">
        <f aca="false">I434+I469+I506</f>
        <v>7.05357072</v>
      </c>
      <c r="J569" s="24" t="n">
        <f aca="false">J434+J469+J506</f>
        <v>8.31399552</v>
      </c>
      <c r="K569" s="24" t="n">
        <f aca="false">K434+K469+K506</f>
        <v>9.10219032</v>
      </c>
      <c r="L569" s="56" t="n">
        <f aca="false">SUM(D569:K569)</f>
        <v>39.06149184</v>
      </c>
    </row>
    <row r="570" customFormat="false" ht="15" hidden="false" customHeight="false" outlineLevel="0" collapsed="false">
      <c r="A570" s="41" t="n">
        <v>164</v>
      </c>
      <c r="B570" s="21" t="s">
        <v>349</v>
      </c>
      <c r="C570" s="11" t="s">
        <v>275</v>
      </c>
      <c r="D570" s="24" t="n">
        <f aca="false">D435+D470+D507</f>
        <v>0</v>
      </c>
      <c r="E570" s="24" t="n">
        <f aca="false">E435+E470+E507</f>
        <v>0</v>
      </c>
      <c r="F570" s="24" t="n">
        <f aca="false">F435+F470+F507</f>
        <v>0</v>
      </c>
      <c r="G570" s="24" t="n">
        <f aca="false">G435+G470+G507</f>
        <v>0</v>
      </c>
      <c r="H570" s="24" t="n">
        <f aca="false">H435+H470+H507</f>
        <v>0</v>
      </c>
      <c r="I570" s="24" t="n">
        <f aca="false">I435+I470+I507</f>
        <v>0</v>
      </c>
      <c r="J570" s="24" t="n">
        <f aca="false">J435+J470+J507</f>
        <v>0</v>
      </c>
      <c r="K570" s="24" t="n">
        <f aca="false">K435+K470+K507</f>
        <v>0</v>
      </c>
      <c r="L570" s="56" t="n">
        <f aca="false">SUM(D570:K570)</f>
        <v>0</v>
      </c>
    </row>
    <row r="571" customFormat="false" ht="15" hidden="false" customHeight="false" outlineLevel="0" collapsed="false">
      <c r="A571" s="41" t="n">
        <v>165</v>
      </c>
      <c r="B571" s="21" t="s">
        <v>350</v>
      </c>
      <c r="C571" s="11" t="s">
        <v>275</v>
      </c>
      <c r="D571" s="24" t="n">
        <f aca="false">SUM(D564:D570)</f>
        <v>1.528933951986</v>
      </c>
      <c r="E571" s="24" t="n">
        <f aca="false">SUM(E564:E570)</f>
        <v>4.11881972556514</v>
      </c>
      <c r="F571" s="24" t="n">
        <f aca="false">SUM(F564:F570)</f>
        <v>7.87093046182286</v>
      </c>
      <c r="G571" s="24" t="n">
        <f aca="false">SUM(G564:G570)</f>
        <v>11.1872537535729</v>
      </c>
      <c r="H571" s="24" t="n">
        <f aca="false">SUM(H564:H570)</f>
        <v>14.7087149366289</v>
      </c>
      <c r="I571" s="24" t="n">
        <f aca="false">SUM(I564:I570)</f>
        <v>16.6225329390214</v>
      </c>
      <c r="J571" s="24" t="n">
        <f aca="false">SUM(J564:J570)</f>
        <v>19.3859215572454</v>
      </c>
      <c r="K571" s="24" t="n">
        <f aca="false">SUM(K564:K570)</f>
        <v>20.3602976241223</v>
      </c>
      <c r="L571" s="56" t="n">
        <f aca="false">SUM(D571:K571)</f>
        <v>95.7834049499649</v>
      </c>
    </row>
    <row r="572" customFormat="false" ht="15" hidden="false" customHeight="false" outlineLevel="0" collapsed="false">
      <c r="A572" s="41" t="n">
        <v>166</v>
      </c>
      <c r="B572" s="17" t="s">
        <v>367</v>
      </c>
      <c r="C572" s="11" t="s">
        <v>275</v>
      </c>
      <c r="D572" s="56" t="n">
        <f aca="false">D563-D571</f>
        <v>7.14853109688708</v>
      </c>
      <c r="E572" s="56" t="n">
        <f aca="false">E563-E571</f>
        <v>22.9072942384829</v>
      </c>
      <c r="F572" s="56" t="n">
        <f aca="false">F563-F571</f>
        <v>48.1716628973543</v>
      </c>
      <c r="G572" s="56" t="n">
        <f aca="false">G563-G571</f>
        <v>75.8937061602971</v>
      </c>
      <c r="H572" s="56" t="n">
        <f aca="false">H563-H571</f>
        <v>105.438441423701</v>
      </c>
      <c r="I572" s="56" t="n">
        <f aca="false">I563-I571</f>
        <v>128.333708735089</v>
      </c>
      <c r="J572" s="56" t="n">
        <f aca="false">J563-J571</f>
        <v>151.743361480596</v>
      </c>
      <c r="K572" s="56" t="n">
        <f aca="false">K563-K571</f>
        <v>167.37371186099</v>
      </c>
      <c r="L572" s="56" t="n">
        <f aca="false">SUM(D572:K572)</f>
        <v>707.010417893398</v>
      </c>
    </row>
    <row r="573" customFormat="false" ht="15" hidden="false" customHeight="false" outlineLevel="0" collapsed="false">
      <c r="A573" s="41" t="n">
        <v>167</v>
      </c>
      <c r="B573" s="17" t="s">
        <v>279</v>
      </c>
      <c r="C573" s="11" t="s">
        <v>365</v>
      </c>
      <c r="D573" s="61" t="n">
        <f aca="false">IF(D563&gt;0,D572/D563,0)</f>
        <v>0.823804078336846</v>
      </c>
      <c r="E573" s="61" t="n">
        <f aca="false">IF(E563&gt;0,E572/E563,0)</f>
        <v>0.847598521524616</v>
      </c>
      <c r="F573" s="61" t="n">
        <f aca="false">IF(F563&gt;0,F572/F563,0)</f>
        <v>0.859554492573568</v>
      </c>
      <c r="G573" s="61" t="n">
        <f aca="false">IF(G563&gt;0,G572/G563,0)</f>
        <v>0.871530426804689</v>
      </c>
      <c r="H573" s="61" t="n">
        <f aca="false">IF(H563&gt;0,H572/H563,0)</f>
        <v>0.877577502604253</v>
      </c>
      <c r="I573" s="61" t="n">
        <f aca="false">IF(I563&gt;0,I572/I563,0)</f>
        <v>0.88532723567439</v>
      </c>
      <c r="J573" s="61" t="n">
        <f aca="false">IF(J563&gt;0,J572/J563,0)</f>
        <v>0.886717683770353</v>
      </c>
      <c r="K573" s="61" t="n">
        <f aca="false">IF(K563&gt;0,K572/K563,0)</f>
        <v>0.891547100709331</v>
      </c>
      <c r="L573" s="61" t="n">
        <f aca="false">IF(L563&gt;0,L572/L563,0)</f>
        <v>0.880687416588837</v>
      </c>
    </row>
    <row r="574" customFormat="false" ht="15" hidden="false" customHeight="false" outlineLevel="0" collapsed="false">
      <c r="A574" s="41" t="n">
        <v>168</v>
      </c>
      <c r="B574" s="21" t="s">
        <v>368</v>
      </c>
      <c r="C574" s="11" t="s">
        <v>365</v>
      </c>
      <c r="D574" s="23" t="n">
        <f aca="false">IF(D563&gt;0,SUM(D556:D559)/D563,0)</f>
        <v>0.38052170743723</v>
      </c>
      <c r="E574" s="23" t="n">
        <f aca="false">IF(E563&gt;0,SUM(E556:E559)/E563,0)</f>
        <v>0.380300120334412</v>
      </c>
      <c r="F574" s="23" t="n">
        <f aca="false">IF(F563&gt;0,SUM(F556:F559)/F563,0)</f>
        <v>0.380081908181649</v>
      </c>
      <c r="G574" s="23" t="n">
        <f aca="false">IF(G563&gt;0,SUM(G556:G559)/G563,0)</f>
        <v>0.379794179365549</v>
      </c>
      <c r="H574" s="23" t="n">
        <f aca="false">IF(H563&gt;0,SUM(H556:H559)/H563,0)</f>
        <v>0.379493578832662</v>
      </c>
      <c r="I574" s="23" t="n">
        <f aca="false">IF(I563&gt;0,SUM(I556:I559)/I563,0)</f>
        <v>0.379096513726256</v>
      </c>
      <c r="J574" s="23" t="n">
        <f aca="false">IF(J563&gt;0,SUM(J556:J559)/J563,0)</f>
        <v>0.378728479434627</v>
      </c>
      <c r="K574" s="23" t="n">
        <f aca="false">IF(K563&gt;0,SUM(K556:K559)/K563,0)</f>
        <v>0.378256071983238</v>
      </c>
      <c r="L574" s="61" t="n">
        <f aca="false">IF(L563&gt;0,SUM(L556:L559)/L563,0)</f>
        <v>0.379081340008499</v>
      </c>
    </row>
    <row r="575" customFormat="false" ht="15" hidden="false" customHeight="false" outlineLevel="0" collapsed="false">
      <c r="A575" s="41" t="n">
        <v>169</v>
      </c>
      <c r="B575" s="21" t="s">
        <v>369</v>
      </c>
      <c r="C575" s="11" t="s">
        <v>365</v>
      </c>
      <c r="D575" s="23" t="n">
        <f aca="false">IF(D563&gt;0,D560/D563,0)</f>
        <v>0.61198068446149</v>
      </c>
      <c r="E575" s="23" t="n">
        <f aca="false">IF(E563&gt;0,E560/E563,0)</f>
        <v>0.611399664116752</v>
      </c>
      <c r="F575" s="23" t="n">
        <f aca="false">IF(F563&gt;0,F560/F563,0)</f>
        <v>0.610827942607947</v>
      </c>
      <c r="G575" s="23" t="n">
        <f aca="false">IF(G563&gt;0,G560/G563,0)</f>
        <v>0.610074522060227</v>
      </c>
      <c r="H575" s="23" t="n">
        <f aca="false">IF(H563&gt;0,H560/H563,0)</f>
        <v>0.609288128138924</v>
      </c>
      <c r="I575" s="23" t="n">
        <f aca="false">IF(I563&gt;0,I560/I563,0)</f>
        <v>0.60825000001188</v>
      </c>
      <c r="J575" s="23" t="n">
        <f aca="false">IF(J563&gt;0,J560/J563,0)</f>
        <v>0.607289074991446</v>
      </c>
      <c r="K575" s="23" t="n">
        <f aca="false">IF(K563&gt;0,K560/K563,0)</f>
        <v>0.606056299080018</v>
      </c>
      <c r="L575" s="61" t="n">
        <f aca="false">IF(L563&gt;0,L560/L563,0)</f>
        <v>0.60821176509634</v>
      </c>
    </row>
    <row r="576" customFormat="false" ht="15" hidden="false" customHeight="false" outlineLevel="0" collapsed="false">
      <c r="A576" s="39"/>
      <c r="B576" s="40" t="s">
        <v>370</v>
      </c>
      <c r="C576" s="39"/>
      <c r="D576" s="39"/>
      <c r="E576" s="39"/>
      <c r="F576" s="39"/>
      <c r="G576" s="39"/>
      <c r="H576" s="39"/>
      <c r="I576" s="39"/>
      <c r="J576" s="39"/>
      <c r="K576" s="39"/>
      <c r="L576" s="39"/>
    </row>
    <row r="577" customFormat="false" ht="15" hidden="false" customHeight="false" outlineLevel="0" collapsed="false">
      <c r="A577" s="41" t="n">
        <v>170</v>
      </c>
      <c r="B577" s="17" t="s">
        <v>371</v>
      </c>
      <c r="C577" s="11" t="s">
        <v>47</v>
      </c>
      <c r="D577" s="55" t="n">
        <f aca="false">IF(D544&gt;0,(D572+D568)*100/D544/3,0)</f>
        <v>637.221179999258</v>
      </c>
      <c r="E577" s="55" t="n">
        <f aca="false">IF(E544&gt;0,(E572+E568)*100/E544/3,0)</f>
        <v>636.76330490802</v>
      </c>
      <c r="F577" s="55" t="n">
        <f aca="false">IF(F544&gt;0,(F572+F568)*100/F544/3,0)</f>
        <v>636.314810189973</v>
      </c>
      <c r="G577" s="55" t="n">
        <f aca="false">IF(G544&gt;0,(G572+G568)*100/G544/3,0)</f>
        <v>635.726125116977</v>
      </c>
      <c r="H577" s="55" t="n">
        <f aca="false">IF(H544&gt;0,(H572+H568)*100/H544/3,0)</f>
        <v>635.11513203312</v>
      </c>
      <c r="I577" s="55" t="n">
        <f aca="false">IF(I544&gt;0,(I572+I568)*100/I544/3,0)</f>
        <v>634.312338227201</v>
      </c>
      <c r="J577" s="55" t="n">
        <f aca="false">IF(J544&gt;0,(J572+J568)*100/J544/3,0)</f>
        <v>633.575116068644</v>
      </c>
      <c r="K577" s="55" t="n">
        <f aca="false">IF(K544&gt;0,(K572+K568)*100/K544/3,0)</f>
        <v>632.633969279415</v>
      </c>
      <c r="L577" s="62" t="n">
        <f aca="false">K577</f>
        <v>632.633969279415</v>
      </c>
    </row>
    <row r="578" customFormat="false" ht="15" hidden="false" customHeight="false" outlineLevel="0" collapsed="false">
      <c r="A578" s="41" t="n">
        <v>171</v>
      </c>
      <c r="B578" s="21" t="s">
        <v>372</v>
      </c>
      <c r="C578" s="11" t="s">
        <v>47</v>
      </c>
      <c r="D578" s="34" t="n">
        <f aca="false">IF(D542&gt;0,(D572+D568)*100/D542/3,0)</f>
        <v>1205.81968714022</v>
      </c>
      <c r="E578" s="34" t="n">
        <f aca="false">IF(E542&gt;0,(E572+E568)*100/E542/3,0)</f>
        <v>1206.99968953197</v>
      </c>
      <c r="F578" s="34" t="n">
        <f aca="false">IF(F542&gt;0,(F572+F568)*100/F542/3,0)</f>
        <v>1208.16311667865</v>
      </c>
      <c r="G578" s="34" t="n">
        <f aca="false">IF(G542&gt;0,(G572+G568)*100/G542/3,0)</f>
        <v>1209.69973873265</v>
      </c>
      <c r="H578" s="34" t="n">
        <f aca="false">IF(H542&gt;0,(H572+H568)*100/H542/3,0)</f>
        <v>1211.30785809163</v>
      </c>
      <c r="I578" s="34" t="n">
        <f aca="false">IF(I542&gt;0,(I572+I568)*100/I542/3,0)</f>
        <v>1213.43728975501</v>
      </c>
      <c r="J578" s="34" t="n">
        <f aca="false">IF(J542&gt;0,(J572+J568)*100/J542/3,0)</f>
        <v>1215.41519571541</v>
      </c>
      <c r="K578" s="34" t="n">
        <f aca="false">IF(K542&gt;0,(K572+K568)*100/K542/3,0)</f>
        <v>1217.96202408141</v>
      </c>
      <c r="L578" s="57" t="n">
        <f aca="false">K578</f>
        <v>1217.96202408141</v>
      </c>
    </row>
    <row r="579" customFormat="false" ht="15" hidden="false" customHeight="false" outlineLevel="0" collapsed="false">
      <c r="A579" s="41" t="n">
        <v>172</v>
      </c>
      <c r="B579" s="21" t="s">
        <v>373</v>
      </c>
      <c r="C579" s="11" t="s">
        <v>374</v>
      </c>
      <c r="D579" s="34" t="n">
        <f aca="false">IF(D543&gt;0,D568*100/D543,0)</f>
        <v>297.46399113628</v>
      </c>
      <c r="E579" s="34" t="n">
        <f aca="false">IF(E543&gt;0,E568*100/E543,0)</f>
        <v>297.46399113628</v>
      </c>
      <c r="F579" s="34" t="n">
        <f aca="false">IF(F543&gt;0,F568*100/F543,0)</f>
        <v>297.46399113628</v>
      </c>
      <c r="G579" s="34" t="n">
        <f aca="false">IF(G543&gt;0,G568*100/G543,0)</f>
        <v>297.46399113628</v>
      </c>
      <c r="H579" s="34" t="n">
        <f aca="false">IF(H543&gt;0,H568*100/H543,0)</f>
        <v>297.46399113628</v>
      </c>
      <c r="I579" s="34" t="n">
        <f aca="false">IF(I543&gt;0,I568*100/I543,0)</f>
        <v>297.46399113628</v>
      </c>
      <c r="J579" s="34" t="n">
        <f aca="false">IF(J543&gt;0,J568*100/J543,0)</f>
        <v>297.46399113628</v>
      </c>
      <c r="K579" s="34" t="n">
        <f aca="false">IF(K543&gt;0,K568*100/K543,0)</f>
        <v>297.46399113628</v>
      </c>
      <c r="L579" s="57" t="n">
        <f aca="false">K579</f>
        <v>297.46399113628</v>
      </c>
    </row>
    <row r="580" customFormat="false" ht="15" hidden="false" customHeight="false" outlineLevel="0" collapsed="false">
      <c r="A580" s="41" t="n">
        <v>173</v>
      </c>
      <c r="B580" s="21" t="s">
        <v>375</v>
      </c>
      <c r="C580" s="11" t="s">
        <v>376</v>
      </c>
      <c r="D580" s="53" t="n">
        <f aca="false">IF(D578&gt;0,D579/D578,"never")</f>
        <v>0.246690275759023</v>
      </c>
      <c r="E580" s="53" t="n">
        <f aca="false">IF(E578&gt;0,E579/E578,"never")</f>
        <v>0.246449103273279</v>
      </c>
      <c r="F580" s="53" t="n">
        <f aca="false">IF(F578&gt;0,F579/F578,"never")</f>
        <v>0.246211779709048</v>
      </c>
      <c r="G580" s="53" t="n">
        <f aca="false">IF(G578&gt;0,G579/G578,"never")</f>
        <v>0.245899029000303</v>
      </c>
      <c r="H580" s="53" t="n">
        <f aca="false">IF(H578&gt;0,H579/H578,"never")</f>
        <v>0.245572576078986</v>
      </c>
      <c r="I580" s="53" t="n">
        <f aca="false">IF(I578&gt;0,I579/I578,"never")</f>
        <v>0.245141626722496</v>
      </c>
      <c r="J580" s="53" t="n">
        <f aca="false">IF(J578&gt;0,J579/J578,"never")</f>
        <v>0.244742695487847</v>
      </c>
      <c r="K580" s="53" t="n">
        <f aca="false">IF(K578&gt;0,K579/K578,"never")</f>
        <v>0.244230924490956</v>
      </c>
      <c r="L580" s="63" t="n">
        <f aca="false">K580</f>
        <v>0.244230924490956</v>
      </c>
    </row>
    <row r="581" customFormat="false" ht="15" hidden="false" customHeight="false" outlineLevel="0" collapsed="false">
      <c r="A581" s="41" t="n">
        <v>174</v>
      </c>
      <c r="B581" s="21" t="s">
        <v>377</v>
      </c>
      <c r="C581" s="11" t="s">
        <v>365</v>
      </c>
      <c r="D581" s="23" t="n">
        <f aca="false">D572/Baseline!$F$29</f>
        <v>0.0352144389009216</v>
      </c>
      <c r="E581" s="23" t="n">
        <f aca="false">E572/Baseline!$F$29</f>
        <v>0.112843813982674</v>
      </c>
      <c r="F581" s="23" t="n">
        <f aca="false">F572/Baseline!$F$29</f>
        <v>0.237298832006672</v>
      </c>
      <c r="G581" s="23" t="n">
        <f aca="false">G572/Baseline!$F$29</f>
        <v>0.373860621479296</v>
      </c>
      <c r="H581" s="23" t="n">
        <f aca="false">H572/Baseline!$F$29</f>
        <v>0.519401189279316</v>
      </c>
      <c r="I581" s="23" t="n">
        <f aca="false">I572/Baseline!$F$29</f>
        <v>0.632185757315712</v>
      </c>
      <c r="J581" s="23" t="n">
        <f aca="false">J572/Baseline!$F$29</f>
        <v>0.747504243746778</v>
      </c>
      <c r="K581" s="23" t="n">
        <f aca="false">K572/Baseline!$F$29</f>
        <v>0.824501043650197</v>
      </c>
      <c r="L581" s="45" t="n">
        <f aca="false">K581</f>
        <v>0.824501043650197</v>
      </c>
    </row>
    <row r="582" customFormat="false" ht="15" hidden="false" customHeight="false" outlineLevel="0" collapsed="false">
      <c r="A582" s="41" t="n">
        <v>175</v>
      </c>
      <c r="B582" s="21" t="s">
        <v>378</v>
      </c>
      <c r="C582" s="11" t="s">
        <v>365</v>
      </c>
      <c r="D582" s="64" t="n">
        <f aca="false">D560/Baseline!$F$31</f>
        <v>0.00652388329238329</v>
      </c>
      <c r="E582" s="64" t="n">
        <f aca="false">E560/Baseline!$F$31</f>
        <v>0.0202994557739558</v>
      </c>
      <c r="F582" s="64" t="n">
        <f aca="false">F560/Baseline!$F$31</f>
        <v>0.0420545233415233</v>
      </c>
      <c r="G582" s="64" t="n">
        <f aca="false">G560/Baseline!$F$31</f>
        <v>0.0652652027027027</v>
      </c>
      <c r="H582" s="64" t="n">
        <f aca="false">H560/Baseline!$F$31</f>
        <v>0.0899314938574939</v>
      </c>
      <c r="I582" s="64" t="n">
        <f aca="false">I560/Baseline!$F$31</f>
        <v>0.108316503685504</v>
      </c>
      <c r="J582" s="64" t="n">
        <f aca="false">J560/Baseline!$F$31</f>
        <v>0.127671921375921</v>
      </c>
      <c r="K582" s="64" t="n">
        <f aca="false">K560/Baseline!$F$31</f>
        <v>0.13977564987715</v>
      </c>
      <c r="L582" s="65" t="n">
        <f aca="false">K582</f>
        <v>0.13977564987715</v>
      </c>
    </row>
    <row r="583" customFormat="false" ht="15" hidden="false" customHeight="false" outlineLevel="0" collapsed="false">
      <c r="A583" s="39"/>
      <c r="B583" s="40" t="s">
        <v>379</v>
      </c>
      <c r="C583" s="39"/>
      <c r="D583" s="39"/>
      <c r="E583" s="39"/>
      <c r="F583" s="39"/>
      <c r="G583" s="39"/>
      <c r="H583" s="39"/>
      <c r="I583" s="39"/>
      <c r="J583" s="39"/>
      <c r="K583" s="39"/>
      <c r="L583" s="39"/>
    </row>
    <row r="584" customFormat="false" ht="15" hidden="false" customHeight="false" outlineLevel="0" collapsed="false">
      <c r="A584" s="41" t="n">
        <v>176</v>
      </c>
      <c r="B584" s="21" t="s">
        <v>380</v>
      </c>
      <c r="C584" s="11" t="s">
        <v>47</v>
      </c>
      <c r="D584" s="34" t="n">
        <f aca="false">Assumptions!$F$56*Assumptions!$F$59</f>
        <v>5000</v>
      </c>
      <c r="E584" s="34" t="n">
        <f aca="false">Assumptions!$F$56*Assumptions!$F$59</f>
        <v>5000</v>
      </c>
      <c r="F584" s="34" t="n">
        <f aca="false">Assumptions!$F$56*Assumptions!$F$59</f>
        <v>5000</v>
      </c>
      <c r="G584" s="34" t="n">
        <f aca="false">Assumptions!$F$56*Assumptions!$F$59</f>
        <v>5000</v>
      </c>
      <c r="H584" s="34" t="n">
        <f aca="false">Assumptions!$F$56*Assumptions!$F$59</f>
        <v>5000</v>
      </c>
      <c r="I584" s="34" t="n">
        <f aca="false">Assumptions!$F$56*Assumptions!$F$59</f>
        <v>5000</v>
      </c>
      <c r="J584" s="34" t="n">
        <f aca="false">Assumptions!$F$56*Assumptions!$F$59</f>
        <v>5000</v>
      </c>
      <c r="K584" s="34" t="n">
        <f aca="false">Assumptions!$F$56*Assumptions!$F$59</f>
        <v>5000</v>
      </c>
      <c r="L584" s="57" t="n">
        <f aca="false">K584</f>
        <v>5000</v>
      </c>
    </row>
    <row r="585" customFormat="false" ht="15" hidden="false" customHeight="false" outlineLevel="0" collapsed="false">
      <c r="A585" s="41" t="n">
        <v>177</v>
      </c>
      <c r="B585" s="21" t="s">
        <v>381</v>
      </c>
      <c r="C585" s="11" t="s">
        <v>47</v>
      </c>
      <c r="D585" s="34" t="n">
        <f aca="false">Assumptions!$F$56*Assumptions!$F$42*Assumptions!$F$58</f>
        <v>1800</v>
      </c>
      <c r="E585" s="34" t="n">
        <f aca="false">Assumptions!$F$56*Assumptions!$F$42*Assumptions!$F$58</f>
        <v>1800</v>
      </c>
      <c r="F585" s="34" t="n">
        <f aca="false">Assumptions!$F$56*Assumptions!$F$42*Assumptions!$F$58</f>
        <v>1800</v>
      </c>
      <c r="G585" s="34" t="n">
        <f aca="false">Assumptions!$F$56*Assumptions!$F$42*Assumptions!$F$58</f>
        <v>1800</v>
      </c>
      <c r="H585" s="34" t="n">
        <f aca="false">Assumptions!$F$56*Assumptions!$F$42*Assumptions!$F$58</f>
        <v>1800</v>
      </c>
      <c r="I585" s="34" t="n">
        <f aca="false">Assumptions!$F$56*Assumptions!$F$42*Assumptions!$F$58</f>
        <v>1800</v>
      </c>
      <c r="J585" s="34" t="n">
        <f aca="false">Assumptions!$F$56*Assumptions!$F$42*Assumptions!$F$58</f>
        <v>1800</v>
      </c>
      <c r="K585" s="34" t="n">
        <f aca="false">Assumptions!$F$56*Assumptions!$F$42*Assumptions!$F$58</f>
        <v>1800</v>
      </c>
      <c r="L585" s="57" t="n">
        <f aca="false">K585</f>
        <v>1800</v>
      </c>
    </row>
    <row r="586" customFormat="false" ht="15" hidden="false" customHeight="false" outlineLevel="0" collapsed="false">
      <c r="A586" s="41" t="n">
        <v>178</v>
      </c>
      <c r="B586" s="21" t="s">
        <v>382</v>
      </c>
      <c r="C586" s="11" t="s">
        <v>47</v>
      </c>
      <c r="D586" s="34" t="n">
        <f aca="false">Assumptions!$F$25/Assumptions!$F$15+Assumptions!$F$29</f>
        <v>255.785714285714</v>
      </c>
      <c r="E586" s="34" t="n">
        <f aca="false">Assumptions!$F$25/Assumptions!$F$15+Assumptions!$F$29</f>
        <v>255.785714285714</v>
      </c>
      <c r="F586" s="34" t="n">
        <f aca="false">Assumptions!$F$25/Assumptions!$F$15+Assumptions!$F$29</f>
        <v>255.785714285714</v>
      </c>
      <c r="G586" s="34" t="n">
        <f aca="false">Assumptions!$F$25/Assumptions!$F$15+Assumptions!$F$29</f>
        <v>255.785714285714</v>
      </c>
      <c r="H586" s="34" t="n">
        <f aca="false">Assumptions!$F$25/Assumptions!$F$15+Assumptions!$F$29</f>
        <v>255.785714285714</v>
      </c>
      <c r="I586" s="34" t="n">
        <f aca="false">Assumptions!$F$25/Assumptions!$F$15+Assumptions!$F$29</f>
        <v>255.785714285714</v>
      </c>
      <c r="J586" s="34" t="n">
        <f aca="false">Assumptions!$F$25/Assumptions!$F$15+Assumptions!$F$29</f>
        <v>255.785714285714</v>
      </c>
      <c r="K586" s="34" t="n">
        <f aca="false">Assumptions!$F$25/Assumptions!$F$15+Assumptions!$F$29</f>
        <v>255.785714285714</v>
      </c>
      <c r="L586" s="57" t="n">
        <f aca="false">K586</f>
        <v>255.785714285714</v>
      </c>
    </row>
    <row r="587" customFormat="false" ht="15" hidden="false" customHeight="false" outlineLevel="0" collapsed="false">
      <c r="A587" s="41" t="n">
        <v>179</v>
      </c>
      <c r="B587" s="17" t="s">
        <v>383</v>
      </c>
      <c r="C587" s="11" t="s">
        <v>47</v>
      </c>
      <c r="D587" s="55" t="n">
        <f aca="false">D584+D585-D586</f>
        <v>6544.21428571429</v>
      </c>
      <c r="E587" s="55" t="n">
        <f aca="false">E584+E585-E586</f>
        <v>6544.21428571429</v>
      </c>
      <c r="F587" s="55" t="n">
        <f aca="false">F584+F585-F586</f>
        <v>6544.21428571429</v>
      </c>
      <c r="G587" s="55" t="n">
        <f aca="false">G584+G585-G586</f>
        <v>6544.21428571429</v>
      </c>
      <c r="H587" s="55" t="n">
        <f aca="false">H584+H585-H586</f>
        <v>6544.21428571429</v>
      </c>
      <c r="I587" s="55" t="n">
        <f aca="false">I584+I585-I586</f>
        <v>6544.21428571429</v>
      </c>
      <c r="J587" s="55" t="n">
        <f aca="false">J584+J585-J586</f>
        <v>6544.21428571429</v>
      </c>
      <c r="K587" s="55" t="n">
        <f aca="false">K584+K585-K586</f>
        <v>6544.21428571429</v>
      </c>
      <c r="L587" s="62" t="n">
        <f aca="false">K587</f>
        <v>6544.21428571429</v>
      </c>
    </row>
    <row r="588" customFormat="false" ht="15" hidden="false" customHeight="false" outlineLevel="0" collapsed="false">
      <c r="A588" s="41" t="n">
        <v>180</v>
      </c>
      <c r="B588" s="21" t="s">
        <v>384</v>
      </c>
      <c r="C588" s="11" t="s">
        <v>385</v>
      </c>
      <c r="D588" s="53" t="n">
        <f aca="false">IF(D586&gt;0,(D584+D585)/D586,0)</f>
        <v>26.584752862329</v>
      </c>
      <c r="E588" s="53" t="n">
        <f aca="false">IF(E586&gt;0,(E584+E585)/E586,0)</f>
        <v>26.584752862329</v>
      </c>
      <c r="F588" s="53" t="n">
        <f aca="false">IF(F586&gt;0,(F584+F585)/F586,0)</f>
        <v>26.584752862329</v>
      </c>
      <c r="G588" s="53" t="n">
        <f aca="false">IF(G586&gt;0,(G584+G585)/G586,0)</f>
        <v>26.584752862329</v>
      </c>
      <c r="H588" s="53" t="n">
        <f aca="false">IF(H586&gt;0,(H584+H585)/H586,0)</f>
        <v>26.584752862329</v>
      </c>
      <c r="I588" s="53" t="n">
        <f aca="false">IF(I586&gt;0,(I584+I585)/I586,0)</f>
        <v>26.584752862329</v>
      </c>
      <c r="J588" s="53" t="n">
        <f aca="false">IF(J586&gt;0,(J584+J585)/J586,0)</f>
        <v>26.584752862329</v>
      </c>
      <c r="K588" s="53" t="n">
        <f aca="false">IF(K586&gt;0,(K584+K585)/K586,0)</f>
        <v>26.584752862329</v>
      </c>
      <c r="L588" s="63" t="n">
        <f aca="false">K588</f>
        <v>26.584752862329</v>
      </c>
    </row>
    <row r="589" customFormat="false" ht="15" hidden="false" customHeight="false" outlineLevel="0" collapsed="false">
      <c r="A589" s="39"/>
      <c r="B589" s="40" t="s">
        <v>386</v>
      </c>
      <c r="C589" s="39"/>
      <c r="D589" s="39"/>
      <c r="E589" s="39"/>
      <c r="F589" s="39"/>
      <c r="G589" s="39"/>
      <c r="H589" s="39"/>
      <c r="I589" s="39"/>
      <c r="J589" s="39"/>
      <c r="K589" s="39"/>
      <c r="L589" s="39"/>
    </row>
    <row r="590" customFormat="false" ht="15" hidden="false" customHeight="false" outlineLevel="0" collapsed="false">
      <c r="A590" s="41" t="n">
        <v>181</v>
      </c>
      <c r="B590" s="21" t="s">
        <v>381</v>
      </c>
      <c r="C590" s="11" t="s">
        <v>47</v>
      </c>
      <c r="D590" s="34" t="n">
        <f aca="false">Assumptions!$F$57*Assumptions!$F$42*Assumptions!$F$58</f>
        <v>1080</v>
      </c>
      <c r="E590" s="34" t="n">
        <f aca="false">Assumptions!$F$57*Assumptions!$F$42*Assumptions!$F$58</f>
        <v>1080</v>
      </c>
      <c r="F590" s="34" t="n">
        <f aca="false">Assumptions!$F$57*Assumptions!$F$42*Assumptions!$F$58</f>
        <v>1080</v>
      </c>
      <c r="G590" s="34" t="n">
        <f aca="false">Assumptions!$F$57*Assumptions!$F$42*Assumptions!$F$58</f>
        <v>1080</v>
      </c>
      <c r="H590" s="34" t="n">
        <f aca="false">Assumptions!$F$57*Assumptions!$F$42*Assumptions!$F$58</f>
        <v>1080</v>
      </c>
      <c r="I590" s="34" t="n">
        <f aca="false">Assumptions!$F$57*Assumptions!$F$42*Assumptions!$F$58</f>
        <v>1080</v>
      </c>
      <c r="J590" s="34" t="n">
        <f aca="false">Assumptions!$F$57*Assumptions!$F$42*Assumptions!$F$58</f>
        <v>1080</v>
      </c>
      <c r="K590" s="34" t="n">
        <f aca="false">Assumptions!$F$57*Assumptions!$F$42*Assumptions!$F$58</f>
        <v>1080</v>
      </c>
      <c r="L590" s="57" t="n">
        <f aca="false">K590</f>
        <v>1080</v>
      </c>
    </row>
    <row r="591" customFormat="false" ht="15" hidden="false" customHeight="false" outlineLevel="0" collapsed="false">
      <c r="A591" s="41" t="n">
        <v>182</v>
      </c>
      <c r="B591" s="21" t="s">
        <v>387</v>
      </c>
      <c r="C591" s="11" t="s">
        <v>47</v>
      </c>
      <c r="D591" s="34" t="n">
        <f aca="false">Assumptions!$F$25</f>
        <v>299</v>
      </c>
      <c r="E591" s="34" t="n">
        <f aca="false">Assumptions!$F$25</f>
        <v>299</v>
      </c>
      <c r="F591" s="34" t="n">
        <f aca="false">Assumptions!$F$25</f>
        <v>299</v>
      </c>
      <c r="G591" s="34" t="n">
        <f aca="false">Assumptions!$F$25</f>
        <v>299</v>
      </c>
      <c r="H591" s="34" t="n">
        <f aca="false">Assumptions!$F$25</f>
        <v>299</v>
      </c>
      <c r="I591" s="34" t="n">
        <f aca="false">Assumptions!$F$25</f>
        <v>299</v>
      </c>
      <c r="J591" s="34" t="n">
        <f aca="false">Assumptions!$F$25</f>
        <v>299</v>
      </c>
      <c r="K591" s="34" t="n">
        <f aca="false">Assumptions!$F$25</f>
        <v>299</v>
      </c>
      <c r="L591" s="57" t="n">
        <f aca="false">K591</f>
        <v>299</v>
      </c>
    </row>
    <row r="592" customFormat="false" ht="15" hidden="false" customHeight="false" outlineLevel="0" collapsed="false">
      <c r="A592" s="41" t="n">
        <v>183</v>
      </c>
      <c r="B592" s="21" t="s">
        <v>388</v>
      </c>
      <c r="C592" s="11" t="s">
        <v>47</v>
      </c>
      <c r="D592" s="34" t="n">
        <f aca="false">D590-D591</f>
        <v>781</v>
      </c>
      <c r="E592" s="34" t="n">
        <f aca="false">E590-E591</f>
        <v>781</v>
      </c>
      <c r="F592" s="34" t="n">
        <f aca="false">F590-F591</f>
        <v>781</v>
      </c>
      <c r="G592" s="34" t="n">
        <f aca="false">G590-G591</f>
        <v>781</v>
      </c>
      <c r="H592" s="34" t="n">
        <f aca="false">H590-H591</f>
        <v>781</v>
      </c>
      <c r="I592" s="34" t="n">
        <f aca="false">I590-I591</f>
        <v>781</v>
      </c>
      <c r="J592" s="34" t="n">
        <f aca="false">J590-J591</f>
        <v>781</v>
      </c>
      <c r="K592" s="34" t="n">
        <f aca="false">K590-K591</f>
        <v>781</v>
      </c>
      <c r="L592" s="57" t="n">
        <f aca="false">K592</f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8"/>
    <col collapsed="false" customWidth="true" hidden="false" outlineLevel="0" max="3" min="3" style="0" width="16"/>
    <col collapsed="false" customWidth="true" hidden="false" outlineLevel="0" max="13" min="4" style="0" width="12"/>
  </cols>
  <sheetData>
    <row r="1" customFormat="false" ht="16.15" hidden="false" customHeight="false" outlineLevel="0" collapsed="false">
      <c r="B1" s="5" t="s">
        <v>391</v>
      </c>
    </row>
    <row r="2" customFormat="false" ht="15" hidden="false" customHeight="false" outlineLevel="0" collapsed="false">
      <c r="B2" s="6" t="s">
        <v>392</v>
      </c>
    </row>
    <row r="4" customFormat="false" ht="15" hidden="false" customHeight="false" outlineLevel="0" collapsed="false">
      <c r="B4" s="66" t="s">
        <v>393</v>
      </c>
    </row>
    <row r="5" customFormat="false" ht="15" hidden="false" customHeight="false" outlineLevel="0" collapsed="false">
      <c r="B5" s="7" t="s">
        <v>394</v>
      </c>
      <c r="C5" s="7" t="s">
        <v>35</v>
      </c>
      <c r="D5" s="7" t="s">
        <v>197</v>
      </c>
      <c r="E5" s="7" t="s">
        <v>198</v>
      </c>
      <c r="F5" s="7" t="s">
        <v>199</v>
      </c>
      <c r="G5" s="7" t="s">
        <v>200</v>
      </c>
      <c r="H5" s="7" t="s">
        <v>201</v>
      </c>
      <c r="I5" s="7" t="s">
        <v>202</v>
      </c>
      <c r="J5" s="7" t="s">
        <v>203</v>
      </c>
      <c r="K5" s="7" t="s">
        <v>204</v>
      </c>
      <c r="L5" s="7" t="s">
        <v>311</v>
      </c>
    </row>
    <row r="6" customFormat="false" ht="15" hidden="false" customHeight="false" outlineLevel="0" collapsed="false">
      <c r="B6" s="17" t="s">
        <v>363</v>
      </c>
      <c r="C6" s="11" t="s">
        <v>362</v>
      </c>
      <c r="D6" s="42" t="n">
        <f aca="false">Model!D358</f>
        <v>7.94869047619048</v>
      </c>
      <c r="E6" s="42" t="n">
        <f aca="false">Model!E358</f>
        <v>8.29714285714286</v>
      </c>
      <c r="F6" s="42" t="n">
        <f aca="false">Model!F358</f>
        <v>8.64559523809524</v>
      </c>
      <c r="G6" s="42" t="n">
        <f aca="false">Model!G358</f>
        <v>8.99404761904762</v>
      </c>
      <c r="H6" s="42" t="n">
        <f aca="false">Model!H358</f>
        <v>9.3425</v>
      </c>
      <c r="I6" s="42" t="n">
        <f aca="false">Model!I358</f>
        <v>9.69095238095238</v>
      </c>
      <c r="J6" s="42" t="n">
        <f aca="false">Model!J358</f>
        <v>10.0394047619048</v>
      </c>
      <c r="K6" s="42" t="n">
        <f aca="false">Model!K358</f>
        <v>10.3878571428571</v>
      </c>
      <c r="L6" s="67" t="n">
        <f aca="false">Model!L358</f>
        <v>73.3461904761905</v>
      </c>
    </row>
    <row r="7" customFormat="false" ht="15" hidden="false" customHeight="false" outlineLevel="0" collapsed="false">
      <c r="B7" s="17" t="s">
        <v>395</v>
      </c>
      <c r="C7" s="11" t="s">
        <v>316</v>
      </c>
      <c r="D7" s="68" t="n">
        <f aca="false">Model!D346</f>
        <v>0.0986330785714286</v>
      </c>
      <c r="E7" s="68" t="n">
        <f aca="false">Model!E346</f>
        <v>0.306902764285714</v>
      </c>
      <c r="F7" s="68" t="n">
        <f aca="false">Model!F346</f>
        <v>0.635812585714286</v>
      </c>
      <c r="G7" s="68" t="n">
        <f aca="false">Model!G346</f>
        <v>0.986729464285714</v>
      </c>
      <c r="H7" s="68" t="n">
        <f aca="false">Model!H346</f>
        <v>1.3596534</v>
      </c>
      <c r="I7" s="68" t="n">
        <f aca="false">Model!I346</f>
        <v>1.6376121</v>
      </c>
      <c r="J7" s="68" t="n">
        <f aca="false">Model!J346</f>
        <v>1.93024217142857</v>
      </c>
      <c r="K7" s="68" t="n">
        <f aca="false">Model!K346</f>
        <v>2.11323563571429</v>
      </c>
      <c r="L7" s="69" t="n">
        <f aca="false">Model!L346</f>
        <v>2.11323563571429</v>
      </c>
    </row>
    <row r="8" customFormat="false" ht="15" hidden="false" customHeight="false" outlineLevel="0" collapsed="false">
      <c r="B8" s="21" t="s">
        <v>396</v>
      </c>
      <c r="C8" s="11" t="s">
        <v>316</v>
      </c>
      <c r="D8" s="68" t="n">
        <f aca="false">Model!D210</f>
        <v>0.06185</v>
      </c>
      <c r="E8" s="68" t="n">
        <f aca="false">Model!E210</f>
        <v>0.19245</v>
      </c>
      <c r="F8" s="68" t="n">
        <f aca="false">Model!F210</f>
        <v>0.3987</v>
      </c>
      <c r="G8" s="68" t="n">
        <f aca="false">Model!G210</f>
        <v>0.61875</v>
      </c>
      <c r="H8" s="68" t="n">
        <f aca="false">Model!H210</f>
        <v>0.8526</v>
      </c>
      <c r="I8" s="68" t="n">
        <f aca="false">Model!I210</f>
        <v>1.0269</v>
      </c>
      <c r="J8" s="68" t="n">
        <f aca="false">Model!J210</f>
        <v>1.2104</v>
      </c>
      <c r="K8" s="68" t="n">
        <f aca="false">Model!K210</f>
        <v>1.32515</v>
      </c>
      <c r="L8" s="69" t="n">
        <f aca="false">Model!L210</f>
        <v>1.32515</v>
      </c>
    </row>
    <row r="9" customFormat="false" ht="15" hidden="false" customHeight="false" outlineLevel="0" collapsed="false">
      <c r="B9" s="21" t="s">
        <v>397</v>
      </c>
      <c r="C9" s="11" t="s">
        <v>316</v>
      </c>
      <c r="D9" s="68" t="n">
        <f aca="false">Model!D244</f>
        <v>0.0353428571428572</v>
      </c>
      <c r="E9" s="68" t="n">
        <f aca="false">Model!E244</f>
        <v>0.109971428571429</v>
      </c>
      <c r="F9" s="68" t="n">
        <f aca="false">Model!F244</f>
        <v>0.227828571428571</v>
      </c>
      <c r="G9" s="68" t="n">
        <f aca="false">Model!G244</f>
        <v>0.353571428571429</v>
      </c>
      <c r="H9" s="68" t="n">
        <f aca="false">Model!H244</f>
        <v>0.4872</v>
      </c>
      <c r="I9" s="68" t="n">
        <f aca="false">Model!I244</f>
        <v>0.5868</v>
      </c>
      <c r="J9" s="68" t="n">
        <f aca="false">Model!J244</f>
        <v>0.691657142857143</v>
      </c>
      <c r="K9" s="68" t="n">
        <f aca="false">Model!K244</f>
        <v>0.757228571428572</v>
      </c>
      <c r="L9" s="69" t="n">
        <f aca="false">Model!L244</f>
        <v>0.757228571428572</v>
      </c>
    </row>
    <row r="10" customFormat="false" ht="15" hidden="false" customHeight="false" outlineLevel="0" collapsed="false">
      <c r="B10" s="21" t="s">
        <v>398</v>
      </c>
      <c r="C10" s="11" t="s">
        <v>316</v>
      </c>
      <c r="D10" s="68" t="n">
        <f aca="false">Model!D279</f>
        <v>0.00141371428571429</v>
      </c>
      <c r="E10" s="68" t="n">
        <f aca="false">Model!E279</f>
        <v>0.00439885714285714</v>
      </c>
      <c r="F10" s="68" t="n">
        <f aca="false">Model!F279</f>
        <v>0.00911314285714286</v>
      </c>
      <c r="G10" s="68" t="n">
        <f aca="false">Model!G279</f>
        <v>0.0141428571428571</v>
      </c>
      <c r="H10" s="68" t="n">
        <f aca="false">Model!H279</f>
        <v>0.019488</v>
      </c>
      <c r="I10" s="68" t="n">
        <f aca="false">Model!I279</f>
        <v>0.023472</v>
      </c>
      <c r="J10" s="68" t="n">
        <f aca="false">Model!J279</f>
        <v>0.0276662857142857</v>
      </c>
      <c r="K10" s="68" t="n">
        <f aca="false">Model!K279</f>
        <v>0.0302891428571429</v>
      </c>
      <c r="L10" s="69" t="n">
        <f aca="false">Model!L279</f>
        <v>0.0302891428571429</v>
      </c>
    </row>
    <row r="11" customFormat="false" ht="15" hidden="false" customHeight="false" outlineLevel="0" collapsed="false">
      <c r="B11" s="21" t="s">
        <v>399</v>
      </c>
      <c r="C11" s="11" t="s">
        <v>316</v>
      </c>
      <c r="D11" s="68" t="n">
        <f aca="false">Model!D316</f>
        <v>2.65071428571429E-005</v>
      </c>
      <c r="E11" s="68" t="n">
        <f aca="false">Model!E316</f>
        <v>8.24785714285714E-005</v>
      </c>
      <c r="F11" s="68" t="n">
        <f aca="false">Model!F316</f>
        <v>0.000170871428571429</v>
      </c>
      <c r="G11" s="68" t="n">
        <f aca="false">Model!G316</f>
        <v>0.000265178571428572</v>
      </c>
      <c r="H11" s="68" t="n">
        <f aca="false">Model!H316</f>
        <v>0.0003654</v>
      </c>
      <c r="I11" s="68" t="n">
        <f aca="false">Model!I316</f>
        <v>0.0004401</v>
      </c>
      <c r="J11" s="68" t="n">
        <f aca="false">Model!J316</f>
        <v>0.000518742857142857</v>
      </c>
      <c r="K11" s="68" t="n">
        <f aca="false">Model!K316</f>
        <v>0.000567921428571429</v>
      </c>
      <c r="L11" s="69" t="n">
        <f aca="false">Model!L316</f>
        <v>0.000567921428571429</v>
      </c>
    </row>
    <row r="12" customFormat="false" ht="15" hidden="false" customHeight="false" outlineLevel="0" collapsed="false">
      <c r="B12" s="17" t="s">
        <v>322</v>
      </c>
      <c r="C12" s="11" t="s">
        <v>316</v>
      </c>
      <c r="D12" s="68" t="n">
        <f aca="false">Model!D348</f>
        <v>0.167488165392857</v>
      </c>
      <c r="E12" s="68" t="n">
        <f aca="false">Model!E348</f>
        <v>0.521642679214286</v>
      </c>
      <c r="F12" s="68" t="n">
        <f aca="false">Model!F348</f>
        <v>1.08169674214286</v>
      </c>
      <c r="G12" s="68" t="n">
        <f aca="false">Model!G348</f>
        <v>1.68076538946429</v>
      </c>
      <c r="H12" s="68" t="n">
        <f aca="false">Model!H348</f>
        <v>2.31895865646429</v>
      </c>
      <c r="I12" s="68" t="n">
        <f aca="false">Model!I348</f>
        <v>2.79775671696429</v>
      </c>
      <c r="J12" s="68" t="n">
        <f aca="false">Model!J348</f>
        <v>3.30285792782143</v>
      </c>
      <c r="K12" s="68" t="n">
        <f aca="false">Model!K348</f>
        <v>3.623249106</v>
      </c>
      <c r="L12" s="69" t="n">
        <f aca="false">Model!L348</f>
        <v>3.623249106</v>
      </c>
    </row>
    <row r="13" customFormat="false" ht="15" hidden="false" customHeight="false" outlineLevel="0" collapsed="false">
      <c r="B13" s="17" t="s">
        <v>335</v>
      </c>
      <c r="C13" s="11" t="s">
        <v>275</v>
      </c>
      <c r="D13" s="70" t="n">
        <f aca="false">Model!D356</f>
        <v>20.1259547013214</v>
      </c>
      <c r="E13" s="70" t="n">
        <f aca="false">Model!E356</f>
        <v>65.3861651626607</v>
      </c>
      <c r="F13" s="70" t="n">
        <f aca="false">Model!F356</f>
        <v>141.101748663268</v>
      </c>
      <c r="G13" s="70" t="n">
        <f aca="false">Model!G356</f>
        <v>230.535937802732</v>
      </c>
      <c r="H13" s="70" t="n">
        <f aca="false">Model!H356</f>
        <v>334.320464907</v>
      </c>
      <c r="I13" s="70" t="n">
        <f aca="false">Model!I356</f>
        <v>429.220033890268</v>
      </c>
      <c r="J13" s="70" t="n">
        <f aca="false">Model!J356</f>
        <v>534.962839089214</v>
      </c>
      <c r="K13" s="70" t="n">
        <f aca="false">Model!K356</f>
        <v>626.607869145268</v>
      </c>
      <c r="L13" s="71" t="n">
        <f aca="false">Model!L356</f>
        <v>2382.26101336173</v>
      </c>
    </row>
    <row r="14" customFormat="false" ht="15" hidden="false" customHeight="false" outlineLevel="0" collapsed="false">
      <c r="B14" s="21" t="s">
        <v>400</v>
      </c>
      <c r="C14" s="11" t="s">
        <v>275</v>
      </c>
      <c r="D14" s="72" t="n">
        <f aca="false">Model!D351</f>
        <v>7.34778</v>
      </c>
      <c r="E14" s="72" t="n">
        <f aca="false">Model!E351</f>
        <v>22.86306</v>
      </c>
      <c r="F14" s="72" t="n">
        <f aca="false">Model!F351</f>
        <v>47.36556</v>
      </c>
      <c r="G14" s="72" t="n">
        <f aca="false">Model!G351</f>
        <v>73.5075</v>
      </c>
      <c r="H14" s="72" t="n">
        <f aca="false">Model!H351</f>
        <v>101.28888</v>
      </c>
      <c r="I14" s="72" t="n">
        <f aca="false">Model!I351</f>
        <v>121.99572</v>
      </c>
      <c r="J14" s="72" t="n">
        <f aca="false">Model!J351</f>
        <v>143.79552</v>
      </c>
      <c r="K14" s="72" t="n">
        <f aca="false">Model!K351</f>
        <v>157.42782</v>
      </c>
      <c r="L14" s="73" t="n">
        <f aca="false">Model!L351</f>
        <v>675.59184</v>
      </c>
    </row>
    <row r="15" customFormat="false" ht="15" hidden="false" customHeight="false" outlineLevel="0" collapsed="false">
      <c r="B15" s="21" t="s">
        <v>401</v>
      </c>
      <c r="C15" s="11" t="s">
        <v>275</v>
      </c>
      <c r="D15" s="72" t="n">
        <f aca="false">Model!D352</f>
        <v>8.516745</v>
      </c>
      <c r="E15" s="72" t="n">
        <f aca="false">Model!E352</f>
        <v>26.500365</v>
      </c>
      <c r="F15" s="72" t="n">
        <f aca="false">Model!F352</f>
        <v>54.90099</v>
      </c>
      <c r="G15" s="72" t="n">
        <f aca="false">Model!G352</f>
        <v>85.201875</v>
      </c>
      <c r="H15" s="72" t="n">
        <f aca="false">Model!H352</f>
        <v>117.40302</v>
      </c>
      <c r="I15" s="72" t="n">
        <f aca="false">Model!I352</f>
        <v>141.40413</v>
      </c>
      <c r="J15" s="72" t="n">
        <f aca="false">Model!J352</f>
        <v>166.67208</v>
      </c>
      <c r="K15" s="72" t="n">
        <f aca="false">Model!K352</f>
        <v>182.473155</v>
      </c>
      <c r="L15" s="73" t="n">
        <f aca="false">Model!L352</f>
        <v>783.07236</v>
      </c>
    </row>
    <row r="16" customFormat="false" ht="15" hidden="false" customHei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>
      <c r="E16" s="72" t="n">
        <f aca="false">Model!E353</f>
        <v>4.68845994439286</v>
      </c>
      <c r="F16" s="72" t="n">
        <f aca="false">Model!F353</f>
        <v>9.71903126892857</v>
      </c>
      <c r="G16" s="72" t="n">
        <f aca="false">Model!G353</f>
        <v>15.0952614452679</v>
      </c>
      <c r="H16" s="72" t="n">
        <f aca="false">Model!H353</f>
        <v>20.8177975997679</v>
      </c>
      <c r="I16" s="72" t="n">
        <f aca="false">Model!I353</f>
        <v>25.1014422415179</v>
      </c>
      <c r="J16" s="72" t="n">
        <f aca="false">Model!J353</f>
        <v>29.6172517880893</v>
      </c>
      <c r="K16" s="72" t="n">
        <f aca="false">Model!K353</f>
        <v>32.467817331</v>
      </c>
      <c r="L16" s="73" t="n">
        <f aca="false">Model!L353</f>
        <v>139.012916964268</v>
      </c>
    </row>
    <row r="17" customFormat="false" ht="15" hidden="false" customHeight="false" outlineLevel="0" collapsed="false">
      <c r="B17" s="21" t="s">
        <v>403</v>
      </c>
      <c r="C17" s="11" t="s">
        <v>275</v>
      </c>
      <c r="D17" s="72" t="n">
        <f aca="false">Model!D354</f>
        <v>1.84151529530357</v>
      </c>
      <c r="E17" s="72" t="n">
        <f aca="false">Model!E354</f>
        <v>7.57607133969643</v>
      </c>
      <c r="F17" s="72" t="n">
        <f aca="false">Model!F354</f>
        <v>19.465713608625</v>
      </c>
      <c r="G17" s="72" t="n">
        <f aca="false">Model!G354</f>
        <v>37.9365623038929</v>
      </c>
      <c r="H17" s="72" t="n">
        <f aca="false">Model!H354</f>
        <v>63.4157573536607</v>
      </c>
      <c r="I17" s="72" t="n">
        <f aca="false">Model!I354</f>
        <v>94.1475433451786</v>
      </c>
      <c r="J17" s="72" t="n">
        <f aca="false">Model!J354</f>
        <v>130.418719683268</v>
      </c>
      <c r="K17" s="72" t="n">
        <f aca="false">Model!K354</f>
        <v>170.195890614268</v>
      </c>
      <c r="L17" s="73" t="n">
        <f aca="false">Model!L354</f>
        <v>524.997773543893</v>
      </c>
    </row>
    <row r="18" customFormat="false" ht="15" hidden="false" customHeight="false" outlineLevel="0" collapsed="false">
      <c r="B18" s="21" t="s">
        <v>404</v>
      </c>
      <c r="C18" s="11" t="s">
        <v>275</v>
      </c>
      <c r="D18" s="72" t="n">
        <f aca="false">Model!D355</f>
        <v>0.914059060714286</v>
      </c>
      <c r="E18" s="72" t="n">
        <f aca="false">Model!E355</f>
        <v>3.75820887857143</v>
      </c>
      <c r="F18" s="72" t="n">
        <f aca="false">Model!F355</f>
        <v>9.65045378571429</v>
      </c>
      <c r="G18" s="72" t="n">
        <f aca="false">Model!G355</f>
        <v>18.7947390535714</v>
      </c>
      <c r="H18" s="72" t="n">
        <f aca="false">Model!H355</f>
        <v>31.3950099535714</v>
      </c>
      <c r="I18" s="72" t="n">
        <f aca="false">Model!I355</f>
        <v>46.5711983035714</v>
      </c>
      <c r="J18" s="72" t="n">
        <f aca="false">Model!J355</f>
        <v>64.4592676178571</v>
      </c>
      <c r="K18" s="72" t="n">
        <f aca="false">Model!K355</f>
        <v>84.0431862</v>
      </c>
      <c r="L18" s="73" t="n">
        <f aca="false">Model!L355</f>
        <v>259.586122853571</v>
      </c>
    </row>
    <row r="19" customFormat="false" ht="15" hidden="false" customHeight="false" outlineLevel="0" collapsed="false">
      <c r="B19" s="17" t="s">
        <v>364</v>
      </c>
      <c r="C19" s="11" t="s">
        <v>365</v>
      </c>
      <c r="D19" s="74" t="n">
        <f aca="false">Model!D359</f>
        <v>2.531983697391E-005</v>
      </c>
      <c r="E19" s="74" t="n">
        <f aca="false">Model!E359</f>
        <v>7.88056398310305E-005</v>
      </c>
      <c r="F19" s="74" t="n">
        <f aca="false">Model!F359</f>
        <v>0.000163206517049895</v>
      </c>
      <c r="G19" s="74" t="n">
        <f aca="false">Model!G359</f>
        <v>0.000256320566187022</v>
      </c>
      <c r="H19" s="74" t="n">
        <f aca="false">Model!H359</f>
        <v>0.000357849039236821</v>
      </c>
      <c r="I19" s="74" t="n">
        <f aca="false">Model!I359</f>
        <v>0.000442908000181594</v>
      </c>
      <c r="J19" s="74" t="n">
        <f aca="false">Model!J359</f>
        <v>0.000532863104712312</v>
      </c>
      <c r="K19" s="74" t="n">
        <f aca="false">Model!K359</f>
        <v>0.000603211866054717</v>
      </c>
      <c r="L19" s="75" t="n">
        <f aca="false">Model!L359</f>
        <v>0.000324796829650622</v>
      </c>
    </row>
    <row r="20" customFormat="false" ht="15" hidden="false" customHeight="false" outlineLevel="0" collapsed="false">
      <c r="B20" s="17" t="s">
        <v>360</v>
      </c>
      <c r="C20" s="11" t="s">
        <v>275</v>
      </c>
      <c r="D20" s="70" t="n">
        <f aca="false">Model!D350</f>
        <v>29.5819714285714</v>
      </c>
      <c r="E20" s="70" t="n">
        <f aca="false">Model!E350</f>
        <v>92.0460857142857</v>
      </c>
      <c r="F20" s="70" t="n">
        <f aca="false">Model!F350</f>
        <v>190.692514285714</v>
      </c>
      <c r="G20" s="70" t="n">
        <f aca="false">Model!G350</f>
        <v>295.939285714286</v>
      </c>
      <c r="H20" s="70" t="n">
        <f aca="false">Model!H350</f>
        <v>407.7864</v>
      </c>
      <c r="I20" s="70" t="n">
        <f aca="false">Model!I350</f>
        <v>491.1516</v>
      </c>
      <c r="J20" s="70" t="n">
        <f aca="false">Model!J350</f>
        <v>578.917028571429</v>
      </c>
      <c r="K20" s="70" t="n">
        <f aca="false">Model!K350</f>
        <v>633.800314285714</v>
      </c>
      <c r="L20" s="71" t="n">
        <f aca="false">Model!L350</f>
        <v>2719.9152</v>
      </c>
    </row>
    <row r="21" customFormat="false" ht="15" hidden="false" customHeight="false" outlineLevel="0" collapsed="false">
      <c r="B21" s="17" t="s">
        <v>342</v>
      </c>
      <c r="C21" s="11" t="s">
        <v>275</v>
      </c>
      <c r="D21" s="42" t="n">
        <f aca="false">Model!D367</f>
        <v>1.4430966555253</v>
      </c>
      <c r="E21" s="42" t="n">
        <f aca="false">Model!E367</f>
        <v>4.49535163025048</v>
      </c>
      <c r="F21" s="42" t="n">
        <f aca="false">Model!F367</f>
        <v>9.32340062538286</v>
      </c>
      <c r="G21" s="42" t="n">
        <f aca="false">Model!G367</f>
        <v>14.4903654812794</v>
      </c>
      <c r="H21" s="42" t="n">
        <f aca="false">Model!H367</f>
        <v>19.997405598907</v>
      </c>
      <c r="I21" s="42" t="n">
        <f aca="false">Model!I367</f>
        <v>24.1342653011718</v>
      </c>
      <c r="J21" s="42" t="n">
        <f aca="false">Model!J367</f>
        <v>28.5001845605713</v>
      </c>
      <c r="K21" s="42" t="n">
        <f aca="false">Model!K367</f>
        <v>31.2771962622735</v>
      </c>
      <c r="L21" s="67" t="n">
        <f aca="false">Model!L367</f>
        <v>133.661266115362</v>
      </c>
    </row>
    <row r="22" customFormat="false" ht="15" hidden="false" customHeight="false" outlineLevel="0" collapsed="false">
      <c r="B22" s="21" t="s">
        <v>405</v>
      </c>
      <c r="C22" s="11" t="s">
        <v>275</v>
      </c>
      <c r="D22" s="42" t="n">
        <f aca="false">Model!D360</f>
        <v>0.588839479071429</v>
      </c>
      <c r="E22" s="42" t="n">
        <f aca="false">Model!E360</f>
        <v>1.83220950278571</v>
      </c>
      <c r="F22" s="42" t="n">
        <f aca="false">Model!F360</f>
        <v>3.79580113671429</v>
      </c>
      <c r="G22" s="42" t="n">
        <f aca="false">Model!G360</f>
        <v>5.89077490178571</v>
      </c>
      <c r="H22" s="42" t="n">
        <f aca="false">Model!H360</f>
        <v>8.117130798</v>
      </c>
      <c r="I22" s="42" t="n">
        <f aca="false">Model!I360</f>
        <v>9.776544237</v>
      </c>
      <c r="J22" s="42" t="n">
        <f aca="false">Model!J360</f>
        <v>11.5235457634286</v>
      </c>
      <c r="K22" s="42" t="n">
        <f aca="false">Model!K360</f>
        <v>12.6160167452143</v>
      </c>
      <c r="L22" s="67" t="n">
        <f aca="false">Model!L360</f>
        <v>54.140862564</v>
      </c>
    </row>
    <row r="23" customFormat="false" ht="15" hidden="false" customHeight="false" outlineLevel="0" collapsed="false">
      <c r="B23" s="21" t="s">
        <v>406</v>
      </c>
      <c r="C23" s="11" t="s">
        <v>275</v>
      </c>
      <c r="D23" s="42" t="n">
        <f aca="false">Model!D361</f>
        <v>0.0175119439285714</v>
      </c>
      <c r="E23" s="42" t="n">
        <f aca="false">Model!E361</f>
        <v>0.0544894682142857</v>
      </c>
      <c r="F23" s="42" t="n">
        <f aca="false">Model!F361</f>
        <v>0.112886209285714</v>
      </c>
      <c r="G23" s="42" t="n">
        <f aca="false">Model!G361</f>
        <v>0.175190223214286</v>
      </c>
      <c r="H23" s="42" t="n">
        <f aca="false">Model!H361</f>
        <v>0.24140151</v>
      </c>
      <c r="I23" s="42" t="n">
        <f aca="false">Model!I361</f>
        <v>0.290752065</v>
      </c>
      <c r="J23" s="42" t="n">
        <f aca="false">Model!J361</f>
        <v>0.342707468571429</v>
      </c>
      <c r="K23" s="42" t="n">
        <f aca="false">Model!K361</f>
        <v>0.375197291785714</v>
      </c>
      <c r="L23" s="67" t="n">
        <f aca="false">Model!L361</f>
        <v>1.61013618</v>
      </c>
    </row>
    <row r="24" customFormat="false" ht="15" hidden="false" customHeight="false" outlineLevel="0" collapsed="false">
      <c r="B24" s="21" t="s">
        <v>407</v>
      </c>
      <c r="C24" s="11" t="s">
        <v>275</v>
      </c>
      <c r="D24" s="42" t="n">
        <f aca="false">Model!D362</f>
        <v>0.174874736608393</v>
      </c>
      <c r="E24" s="42" t="n">
        <f aca="false">Model!E362</f>
        <v>0.544498236633214</v>
      </c>
      <c r="F24" s="42" t="n">
        <f aca="false">Model!F362</f>
        <v>1.12878524208214</v>
      </c>
      <c r="G24" s="42" t="n">
        <f aca="false">Model!G362</f>
        <v>1.75330740835446</v>
      </c>
      <c r="H24" s="42" t="n">
        <f aca="false">Model!H362</f>
        <v>2.41814616584946</v>
      </c>
      <c r="I24" s="42" t="n">
        <f aca="false">Model!I362</f>
        <v>2.91599309969196</v>
      </c>
      <c r="J24" s="42" t="n">
        <f aca="false">Model!J362</f>
        <v>3.44088062181482</v>
      </c>
      <c r="K24" s="42" t="n">
        <f aca="false">Model!K362</f>
        <v>3.77246713041</v>
      </c>
      <c r="L24" s="67" t="n">
        <f aca="false">Model!L362</f>
        <v>16.1489526414445</v>
      </c>
    </row>
    <row r="25" customFormat="false" ht="15" hidden="false" customHeight="false" outlineLevel="0" collapsed="false">
      <c r="B25" s="21" t="s">
        <v>408</v>
      </c>
      <c r="C25" s="11" t="s">
        <v>275</v>
      </c>
      <c r="D25" s="42" t="n">
        <f aca="false">Model!D363</f>
        <v>0.0585880486714286</v>
      </c>
      <c r="E25" s="42" t="n">
        <f aca="false">Model!E363</f>
        <v>0.182300241985714</v>
      </c>
      <c r="F25" s="42" t="n">
        <f aca="false">Model!F363</f>
        <v>0.377672675914286</v>
      </c>
      <c r="G25" s="42" t="n">
        <f aca="false">Model!G363</f>
        <v>0.586117301785714</v>
      </c>
      <c r="H25" s="42" t="n">
        <f aca="false">Model!H363</f>
        <v>0.8076341196</v>
      </c>
      <c r="I25" s="42" t="n">
        <f aca="false">Model!I363</f>
        <v>0.9727415874</v>
      </c>
      <c r="J25" s="42" t="n">
        <f aca="false">Model!J363</f>
        <v>1.14656384982857</v>
      </c>
      <c r="K25" s="42" t="n">
        <f aca="false">Model!K363</f>
        <v>1.25526196761429</v>
      </c>
      <c r="L25" s="67" t="n">
        <f aca="false">Model!L363</f>
        <v>5.3868797928</v>
      </c>
    </row>
    <row r="26" customFormat="false" ht="15" hidden="false" customHeight="false" outlineLevel="0" collapsed="false">
      <c r="B26" s="21" t="s">
        <v>409</v>
      </c>
      <c r="C26" s="11" t="s">
        <v>275</v>
      </c>
      <c r="D26" s="42" t="n">
        <f aca="false">Model!D364</f>
        <v>0.591639428571429</v>
      </c>
      <c r="E26" s="42" t="n">
        <f aca="false">Model!E364</f>
        <v>1.84092171428571</v>
      </c>
      <c r="F26" s="42" t="n">
        <f aca="false">Model!F364</f>
        <v>3.81385028571429</v>
      </c>
      <c r="G26" s="42" t="n">
        <f aca="false">Model!G364</f>
        <v>5.91878571428572</v>
      </c>
      <c r="H26" s="42" t="n">
        <f aca="false">Model!H364</f>
        <v>8.155728</v>
      </c>
      <c r="I26" s="42" t="n">
        <f aca="false">Model!I364</f>
        <v>9.823032</v>
      </c>
      <c r="J26" s="42" t="n">
        <f aca="false">Model!J364</f>
        <v>11.5783405714286</v>
      </c>
      <c r="K26" s="42" t="n">
        <f aca="false">Model!K364</f>
        <v>12.6760062857143</v>
      </c>
      <c r="L26" s="67" t="n">
        <f aca="false">Model!L364</f>
        <v>54.398304</v>
      </c>
    </row>
    <row r="27" customFormat="false" ht="15" hidden="false" customHeight="false" outlineLevel="0" collapsed="false">
      <c r="B27" s="21" t="s">
        <v>410</v>
      </c>
      <c r="C27" s="11" t="s">
        <v>275</v>
      </c>
      <c r="D27" s="42" t="n">
        <f aca="false">Model!D365+Model!D366</f>
        <v>0.0116430186740464</v>
      </c>
      <c r="E27" s="42" t="n">
        <f aca="false">Model!E365+Model!E366</f>
        <v>0.0409324663458321</v>
      </c>
      <c r="F27" s="42" t="n">
        <f aca="false">Model!F365+Model!F366</f>
        <v>0.0944050756721464</v>
      </c>
      <c r="G27" s="42" t="n">
        <f aca="false">Model!G365+Model!G366</f>
        <v>0.166189931853557</v>
      </c>
      <c r="H27" s="42" t="n">
        <f aca="false">Model!H365+Model!H366</f>
        <v>0.257365005457532</v>
      </c>
      <c r="I27" s="42" t="n">
        <f aca="false">Model!I365+Model!I366</f>
        <v>0.355202312079857</v>
      </c>
      <c r="J27" s="42" t="n">
        <f aca="false">Model!J365+Model!J366</f>
        <v>0.468146285499311</v>
      </c>
      <c r="K27" s="42" t="n">
        <f aca="false">Model!K365+Model!K366</f>
        <v>0.582246841534875</v>
      </c>
      <c r="L27" s="67" t="n">
        <f aca="false">Model!L365+Model!L366</f>
        <v>1.97613093711716</v>
      </c>
    </row>
    <row r="28" customFormat="false" ht="15" hidden="false" customHeight="false" outlineLevel="0" collapsed="false">
      <c r="B28" s="17" t="s">
        <v>350</v>
      </c>
      <c r="C28" s="11" t="s">
        <v>275</v>
      </c>
      <c r="D28" s="42" t="n">
        <f aca="false">Model!D375</f>
        <v>0.895957551541072</v>
      </c>
      <c r="E28" s="42" t="n">
        <f aca="false">Model!E375</f>
        <v>2.39350981948929</v>
      </c>
      <c r="F28" s="42" t="n">
        <f aca="false">Model!F375</f>
        <v>4.54930016882143</v>
      </c>
      <c r="G28" s="42" t="n">
        <f aca="false">Model!G375</f>
        <v>6.42413706083036</v>
      </c>
      <c r="H28" s="42" t="n">
        <f aca="false">Model!H375</f>
        <v>8.41316843502322</v>
      </c>
      <c r="I28" s="42" t="n">
        <f aca="false">Model!I375</f>
        <v>9.45399977799107</v>
      </c>
      <c r="J28" s="42" t="n">
        <f aca="false">Model!J375</f>
        <v>11.0103263297625</v>
      </c>
      <c r="K28" s="42" t="n">
        <f aca="false">Model!K375</f>
        <v>11.5140054551143</v>
      </c>
      <c r="L28" s="67" t="n">
        <f aca="false">Model!L375</f>
        <v>54.6544045985732</v>
      </c>
    </row>
    <row r="29" customFormat="false" ht="15" hidden="false" customHeight="false" outlineLevel="0" collapsed="false">
      <c r="B29" s="17" t="s">
        <v>367</v>
      </c>
      <c r="C29" s="11" t="s">
        <v>275</v>
      </c>
      <c r="D29" s="42" t="n">
        <f aca="false">Model!D376</f>
        <v>0.547139103984225</v>
      </c>
      <c r="E29" s="42" t="n">
        <f aca="false">Model!E376</f>
        <v>2.10184181076119</v>
      </c>
      <c r="F29" s="42" t="n">
        <f aca="false">Model!F376</f>
        <v>4.77410045656143</v>
      </c>
      <c r="G29" s="42" t="n">
        <f aca="false">Model!G376</f>
        <v>8.06622842044909</v>
      </c>
      <c r="H29" s="42" t="n">
        <f aca="false">Model!H376</f>
        <v>11.5842371638838</v>
      </c>
      <c r="I29" s="42" t="n">
        <f aca="false">Model!I376</f>
        <v>14.6802655231808</v>
      </c>
      <c r="J29" s="42" t="n">
        <f aca="false">Model!J376</f>
        <v>17.4898582308088</v>
      </c>
      <c r="K29" s="42" t="n">
        <f aca="false">Model!K376</f>
        <v>19.7631908071592</v>
      </c>
      <c r="L29" s="67" t="n">
        <f aca="false">Model!L376</f>
        <v>79.0068615167884</v>
      </c>
    </row>
    <row r="30" customFormat="false" ht="15" hidden="false" customHeight="false" outlineLevel="0" collapsed="false">
      <c r="B30" s="21" t="s">
        <v>411</v>
      </c>
      <c r="C30" s="11" t="s">
        <v>275</v>
      </c>
      <c r="D30" s="42" t="n">
        <f aca="false">Model!D241</f>
        <v>0.288976726595</v>
      </c>
      <c r="E30" s="42" t="n">
        <f aca="false">Model!E241</f>
        <v>1.08026279626</v>
      </c>
      <c r="F30" s="42" t="n">
        <f aca="false">Model!F241</f>
        <v>2.42803375725</v>
      </c>
      <c r="G30" s="42" t="n">
        <f aca="false">Model!G241</f>
        <v>4.065448612875</v>
      </c>
      <c r="H30" s="42" t="n">
        <f aca="false">Model!H241</f>
        <v>5.813544913245</v>
      </c>
      <c r="I30" s="42" t="n">
        <f aca="false">Model!I241</f>
        <v>7.330019084625</v>
      </c>
      <c r="J30" s="42" t="n">
        <f aca="false">Model!J241</f>
        <v>8.721725104355</v>
      </c>
      <c r="K30" s="42" t="n">
        <f aca="false">Model!K241</f>
        <v>9.82410987231</v>
      </c>
      <c r="L30" s="67" t="n">
        <f aca="false">Model!L241</f>
        <v>39.552120867515</v>
      </c>
    </row>
    <row r="31" customFormat="false" ht="15" hidden="false" customHeight="false" outlineLevel="0" collapsed="false">
      <c r="B31" s="21" t="s">
        <v>412</v>
      </c>
      <c r="C31" s="11" t="s">
        <v>275</v>
      </c>
      <c r="D31" s="42" t="n">
        <f aca="false">Model!D276</f>
        <v>0.239110209157143</v>
      </c>
      <c r="E31" s="42" t="n">
        <f aca="false">Model!E276</f>
        <v>0.923036508442857</v>
      </c>
      <c r="F31" s="42" t="n">
        <f aca="false">Model!F276</f>
        <v>2.10074653752857</v>
      </c>
      <c r="G31" s="42" t="n">
        <f aca="false">Model!G276</f>
        <v>3.55568466917143</v>
      </c>
      <c r="H31" s="42" t="n">
        <f aca="false">Model!H276</f>
        <v>5.11166459275714</v>
      </c>
      <c r="I31" s="42" t="n">
        <f aca="false">Model!I276</f>
        <v>6.485646171</v>
      </c>
      <c r="J31" s="42" t="n">
        <f aca="false">Model!J276</f>
        <v>7.73162573484286</v>
      </c>
      <c r="K31" s="42" t="n">
        <f aca="false">Model!K276</f>
        <v>8.74503350935715</v>
      </c>
      <c r="L31" s="67" t="n">
        <f aca="false">Model!L276</f>
        <v>34.8925479322572</v>
      </c>
    </row>
    <row r="32" customFormat="false" ht="15" hidden="false" customHeight="false" outlineLevel="0" collapsed="false">
      <c r="B32" s="21" t="s">
        <v>413</v>
      </c>
      <c r="C32" s="11" t="s">
        <v>275</v>
      </c>
      <c r="D32" s="42" t="n">
        <f aca="false">Model!D313</f>
        <v>0.0290026263662857</v>
      </c>
      <c r="E32" s="42" t="n">
        <f aca="false">Model!E313</f>
        <v>0.112449040337714</v>
      </c>
      <c r="F32" s="42" t="n">
        <f aca="false">Model!F313</f>
        <v>0.256345229501143</v>
      </c>
      <c r="G32" s="42" t="n">
        <f aca="false">Model!G313</f>
        <v>0.434491856766857</v>
      </c>
      <c r="H32" s="42" t="n">
        <f aca="false">Model!H313</f>
        <v>0.625042181710286</v>
      </c>
      <c r="I32" s="42" t="n">
        <f aca="false">Model!I313</f>
        <v>0.79366687284</v>
      </c>
      <c r="J32" s="42" t="n">
        <f aca="false">Model!J313</f>
        <v>0.946335591393714</v>
      </c>
      <c r="K32" s="42" t="n">
        <f aca="false">Model!K313</f>
        <v>1.07089722837429</v>
      </c>
      <c r="L32" s="67" t="n">
        <f aca="false">Model!L313</f>
        <v>4.26823062729029</v>
      </c>
    </row>
    <row r="33" customFormat="false" ht="15" hidden="false" customHeight="false" outlineLevel="0" collapsed="false">
      <c r="B33" s="21" t="s">
        <v>414</v>
      </c>
      <c r="C33" s="11" t="s">
        <v>275</v>
      </c>
      <c r="D33" s="42" t="n">
        <f aca="false">Model!D344</f>
        <v>-0.00995045813420357</v>
      </c>
      <c r="E33" s="42" t="n">
        <f aca="false">Model!E344</f>
        <v>-0.0139065342793821</v>
      </c>
      <c r="F33" s="42" t="n">
        <f aca="false">Model!F344</f>
        <v>-0.0110250677182822</v>
      </c>
      <c r="G33" s="42" t="n">
        <f aca="false">Model!G344</f>
        <v>0.0106032816358071</v>
      </c>
      <c r="H33" s="42" t="n">
        <f aca="false">Model!H344</f>
        <v>0.0339854761713536</v>
      </c>
      <c r="I33" s="42" t="n">
        <f aca="false">Model!I344</f>
        <v>0.0709333947157501</v>
      </c>
      <c r="J33" s="42" t="n">
        <f aca="false">Model!J344</f>
        <v>0.0901718002172035</v>
      </c>
      <c r="K33" s="42" t="n">
        <f aca="false">Model!K344</f>
        <v>0.123150197117732</v>
      </c>
      <c r="L33" s="67" t="n">
        <f aca="false">Model!L344</f>
        <v>0.293962089725979</v>
      </c>
    </row>
    <row r="34" customFormat="false" ht="15" hidden="false" customHeight="false" outlineLevel="0" collapsed="false">
      <c r="B34" s="17" t="s">
        <v>279</v>
      </c>
      <c r="C34" s="11" t="s">
        <v>365</v>
      </c>
      <c r="D34" s="44" t="n">
        <f aca="false">Model!D377</f>
        <v>0.379142382382601</v>
      </c>
      <c r="E34" s="44" t="n">
        <f aca="false">Model!E377</f>
        <v>0.467558932791221</v>
      </c>
      <c r="F34" s="44" t="n">
        <f aca="false">Model!F377</f>
        <v>0.51205570246161</v>
      </c>
      <c r="G34" s="44" t="n">
        <f aca="false">Model!G377</f>
        <v>0.556661488688474</v>
      </c>
      <c r="H34" s="44" t="n">
        <f aca="false">Model!H377</f>
        <v>0.57928700333592</v>
      </c>
      <c r="I34" s="44" t="n">
        <f aca="false">Model!I377</f>
        <v>0.608274805136412</v>
      </c>
      <c r="J34" s="44" t="n">
        <f aca="false">Model!J377</f>
        <v>0.613675262124625</v>
      </c>
      <c r="K34" s="44" t="n">
        <f aca="false">Model!K377</f>
        <v>0.631872199842846</v>
      </c>
      <c r="L34" s="76" t="n">
        <f aca="false">Model!L377</f>
        <v>0.591097659127353</v>
      </c>
    </row>
    <row r="35" customFormat="false" ht="15" hidden="false" customHeight="false" outlineLevel="0" collapsed="false">
      <c r="B35" s="17" t="s">
        <v>415</v>
      </c>
      <c r="C35" s="11" t="s">
        <v>365</v>
      </c>
      <c r="D35" s="44" t="n">
        <f aca="false">Model!D385</f>
        <v>0.00269526652208978</v>
      </c>
      <c r="E35" s="44" t="n">
        <f aca="false">Model!E385</f>
        <v>0.0103539005456216</v>
      </c>
      <c r="F35" s="44" t="n">
        <f aca="false">Model!F385</f>
        <v>0.0235177362392189</v>
      </c>
      <c r="G35" s="44" t="n">
        <f aca="false">Model!G385</f>
        <v>0.0397351153716704</v>
      </c>
      <c r="H35" s="44" t="n">
        <f aca="false">Model!H385</f>
        <v>0.057065207703861</v>
      </c>
      <c r="I35" s="44" t="n">
        <f aca="false">Model!I385</f>
        <v>0.0723165789319249</v>
      </c>
      <c r="J35" s="44" t="n">
        <f aca="false">Model!J385</f>
        <v>0.0861569370975802</v>
      </c>
      <c r="K35" s="44" t="n">
        <f aca="false">Model!K385</f>
        <v>0.0973556197397003</v>
      </c>
    </row>
    <row r="37" customFormat="false" ht="15" hidden="false" customHeight="false" outlineLevel="0" collapsed="false">
      <c r="B37" s="66" t="s">
        <v>416</v>
      </c>
    </row>
    <row r="38" customFormat="false" ht="15" hidden="false" customHeight="false" outlineLevel="0" collapsed="false">
      <c r="B38" s="7" t="s">
        <v>394</v>
      </c>
      <c r="C38" s="7" t="s">
        <v>35</v>
      </c>
      <c r="D38" s="7" t="s">
        <v>36</v>
      </c>
      <c r="E38" s="7" t="s">
        <v>37</v>
      </c>
      <c r="F38" s="7" t="s">
        <v>38</v>
      </c>
    </row>
    <row r="39" customFormat="false" ht="15" hidden="false" customHeight="false" outlineLevel="0" collapsed="false">
      <c r="B39" s="21" t="s">
        <v>417</v>
      </c>
      <c r="C39" s="11" t="s">
        <v>275</v>
      </c>
      <c r="D39" s="70" t="n">
        <f aca="false">Model!L160</f>
        <v>186.25747568723</v>
      </c>
      <c r="E39" s="70" t="n">
        <f aca="false">Model!L356</f>
        <v>2382.26101336173</v>
      </c>
      <c r="F39" s="70" t="n">
        <f aca="false">Model!L552</f>
        <v>14354.0374229344</v>
      </c>
    </row>
    <row r="40" customFormat="false" ht="15" hidden="false" customHeight="false" outlineLevel="0" collapsed="false">
      <c r="B40" s="21" t="s">
        <v>418</v>
      </c>
      <c r="C40" s="11" t="s">
        <v>275</v>
      </c>
      <c r="D40" s="70" t="n">
        <f aca="false">Model!K160</f>
        <v>50.5455750939616</v>
      </c>
      <c r="E40" s="70" t="n">
        <f aca="false">Model!K356</f>
        <v>626.607869145268</v>
      </c>
      <c r="F40" s="70" t="n">
        <f aca="false">Model!K552</f>
        <v>3747.4101111763</v>
      </c>
    </row>
    <row r="41" customFormat="false" ht="15" hidden="false" customHeight="false" outlineLevel="0" collapsed="false">
      <c r="B41" s="21" t="s">
        <v>419</v>
      </c>
      <c r="C41" s="11" t="s">
        <v>365</v>
      </c>
      <c r="D41" s="74" t="n">
        <f aca="false">Model!K163</f>
        <v>4.86583271206397E-005</v>
      </c>
      <c r="E41" s="74" t="n">
        <f aca="false">Model!K359</f>
        <v>0.000603211866054717</v>
      </c>
      <c r="F41" s="74" t="n">
        <f aca="false">Model!K555</f>
        <v>0.00360749099611278</v>
      </c>
    </row>
    <row r="42" customFormat="false" ht="15" hidden="false" customHeight="false" outlineLevel="0" collapsed="false">
      <c r="B42" s="21" t="s">
        <v>420</v>
      </c>
      <c r="C42" s="11" t="s">
        <v>275</v>
      </c>
      <c r="D42" s="72" t="n">
        <f aca="false">Model!L180</f>
        <v>2.09345928088013</v>
      </c>
      <c r="E42" s="72" t="n">
        <f aca="false">Model!L376</f>
        <v>79.0068615167884</v>
      </c>
      <c r="F42" s="72" t="n">
        <f aca="false">Model!L572</f>
        <v>707.010417893398</v>
      </c>
    </row>
    <row r="43" customFormat="false" ht="15" hidden="false" customHeight="false" outlineLevel="0" collapsed="false">
      <c r="B43" s="21" t="s">
        <v>421</v>
      </c>
      <c r="C43" s="11" t="s">
        <v>275</v>
      </c>
      <c r="D43" s="42" t="n">
        <f aca="false">Model!K180</f>
        <v>1.13870925765946</v>
      </c>
      <c r="E43" s="42" t="n">
        <f aca="false">Model!K376</f>
        <v>19.7631908071592</v>
      </c>
      <c r="F43" s="42" t="n">
        <f aca="false">Model!K572</f>
        <v>167.37371186099</v>
      </c>
    </row>
    <row r="44" customFormat="false" ht="15" hidden="false" customHeight="false" outlineLevel="0" collapsed="false">
      <c r="B44" s="21" t="s">
        <v>422</v>
      </c>
      <c r="C44" s="11" t="s">
        <v>365</v>
      </c>
      <c r="D44" s="44" t="n">
        <f aca="false">Model!K189</f>
        <v>0.00560940521014512</v>
      </c>
      <c r="E44" s="44" t="n">
        <f aca="false">Model!K385</f>
        <v>0.0973556197397003</v>
      </c>
      <c r="F44" s="44" t="n">
        <f aca="false">Model!K581</f>
        <v>0.824501043650197</v>
      </c>
    </row>
    <row r="45" customFormat="false" ht="15" hidden="false" customHeight="false" outlineLevel="0" collapsed="false">
      <c r="B45" s="21" t="s">
        <v>423</v>
      </c>
      <c r="C45" s="11" t="s">
        <v>365</v>
      </c>
      <c r="D45" s="44" t="n">
        <f aca="false">Model!L181</f>
        <v>0.0958947399894378</v>
      </c>
      <c r="E45" s="44" t="n">
        <f aca="false">Model!L377</f>
        <v>0.591097659127353</v>
      </c>
      <c r="F45" s="44" t="n">
        <f aca="false">Model!L573</f>
        <v>0.880687416588837</v>
      </c>
    </row>
    <row r="46" customFormat="false" ht="15" hidden="false" customHeight="false" outlineLevel="0" collapsed="false">
      <c r="B46" s="21" t="s">
        <v>424</v>
      </c>
      <c r="C46" s="11" t="s">
        <v>275</v>
      </c>
      <c r="D46" s="72" t="n">
        <f aca="false">Model!L171</f>
        <v>21.8308040786253</v>
      </c>
      <c r="E46" s="72" t="n">
        <f aca="false">Model!L367</f>
        <v>133.661266115362</v>
      </c>
      <c r="F46" s="72" t="n">
        <f aca="false">Model!L563</f>
        <v>802.793822843363</v>
      </c>
    </row>
    <row r="47" customFormat="false" ht="15" hidden="false" customHeight="false" outlineLevel="0" collapsed="false">
      <c r="B47" s="21" t="s">
        <v>425</v>
      </c>
      <c r="C47" s="11" t="s">
        <v>365</v>
      </c>
      <c r="D47" s="44" t="n">
        <f aca="false">Model!L182</f>
        <v>0.842091357535587</v>
      </c>
      <c r="E47" s="44" t="n">
        <f aca="false">Model!L378</f>
        <v>0.578229081800999</v>
      </c>
      <c r="F47" s="44" t="n">
        <f aca="false">Model!L574</f>
        <v>0.379081340008499</v>
      </c>
    </row>
    <row r="48" customFormat="false" ht="15" hidden="false" customHeight="false" outlineLevel="0" collapsed="false">
      <c r="B48" s="21" t="s">
        <v>426</v>
      </c>
      <c r="C48" s="11" t="s">
        <v>275</v>
      </c>
      <c r="D48" s="72" t="n">
        <f aca="false">Model!L168</f>
        <v>3.2189319</v>
      </c>
      <c r="E48" s="72" t="n">
        <f aca="false">Model!L364</f>
        <v>54.398304</v>
      </c>
      <c r="F48" s="72" t="n">
        <f aca="false">Model!L560</f>
        <v>488.268648</v>
      </c>
    </row>
    <row r="49" customFormat="false" ht="15" hidden="false" customHeight="false" outlineLevel="0" collapsed="false">
      <c r="B49" s="21" t="s">
        <v>427</v>
      </c>
      <c r="C49" s="11" t="s">
        <v>365</v>
      </c>
      <c r="D49" s="44" t="n">
        <f aca="false">Model!L183</f>
        <v>0.147449076470421</v>
      </c>
      <c r="E49" s="44" t="n">
        <f aca="false">Model!L379</f>
        <v>0.406986298880705</v>
      </c>
      <c r="F49" s="44" t="n">
        <f aca="false">Model!L575</f>
        <v>0.60821176509634</v>
      </c>
    </row>
    <row r="50" customFormat="false" ht="15" hidden="false" customHeight="false" outlineLevel="0" collapsed="false">
      <c r="B50" s="21" t="s">
        <v>428</v>
      </c>
      <c r="C50" s="11" t="s">
        <v>316</v>
      </c>
      <c r="D50" s="68" t="n">
        <f aca="false">Model!K150</f>
        <v>0.812222296428572</v>
      </c>
      <c r="E50" s="68" t="n">
        <f aca="false">Model!K346</f>
        <v>2.11323563571429</v>
      </c>
      <c r="F50" s="68" t="n">
        <f aca="false">Model!K542</f>
        <v>4.61322576428572</v>
      </c>
    </row>
    <row r="51" customFormat="false" ht="15" hidden="false" customHeight="false" outlineLevel="0" collapsed="false">
      <c r="B51" s="21" t="s">
        <v>396</v>
      </c>
      <c r="C51" s="11" t="s">
        <v>316</v>
      </c>
      <c r="D51" s="68" t="n">
        <f aca="false">Model!K14</f>
        <v>0.615248214285714</v>
      </c>
      <c r="E51" s="68" t="n">
        <f aca="false">Model!K210</f>
        <v>1.32515</v>
      </c>
      <c r="F51" s="68" t="n">
        <f aca="false">Model!K406</f>
        <v>2.83960714285714</v>
      </c>
    </row>
    <row r="52" customFormat="false" ht="15" hidden="false" customHeight="false" outlineLevel="0" collapsed="false">
      <c r="B52" s="21" t="s">
        <v>397</v>
      </c>
      <c r="C52" s="11" t="s">
        <v>316</v>
      </c>
      <c r="D52" s="68" t="n">
        <f aca="false">Model!K48</f>
        <v>0.189307142857143</v>
      </c>
      <c r="E52" s="68" t="n">
        <f aca="false">Model!K244</f>
        <v>0.757228571428572</v>
      </c>
      <c r="F52" s="68" t="n">
        <f aca="false">Model!K440</f>
        <v>1.70376428571429</v>
      </c>
    </row>
    <row r="53" customFormat="false" ht="15" hidden="false" customHeight="false" outlineLevel="0" collapsed="false">
      <c r="B53" s="21" t="s">
        <v>398</v>
      </c>
      <c r="C53" s="11" t="s">
        <v>316</v>
      </c>
      <c r="D53" s="68" t="n">
        <f aca="false">Model!K83</f>
        <v>0.00757228571428571</v>
      </c>
      <c r="E53" s="68" t="n">
        <f aca="false">Model!K279</f>
        <v>0.0302891428571429</v>
      </c>
      <c r="F53" s="68" t="n">
        <f aca="false">Model!K475</f>
        <v>0.0681505714285714</v>
      </c>
    </row>
    <row r="54" customFormat="false" ht="15" hidden="false" customHeight="false" outlineLevel="0" collapsed="false">
      <c r="B54" s="21" t="s">
        <v>399</v>
      </c>
      <c r="C54" s="11" t="s">
        <v>316</v>
      </c>
      <c r="D54" s="68" t="n">
        <f aca="false">Model!K120</f>
        <v>9.46535714285714E-005</v>
      </c>
      <c r="E54" s="68" t="n">
        <f aca="false">Model!K316</f>
        <v>0.000567921428571429</v>
      </c>
      <c r="F54" s="68" t="n">
        <f aca="false">Model!K512</f>
        <v>0.00170376428571429</v>
      </c>
    </row>
    <row r="55" customFormat="false" ht="15" hidden="false" customHeight="false" outlineLevel="0" collapsed="false">
      <c r="B55" s="21" t="s">
        <v>429</v>
      </c>
      <c r="C55" s="11" t="s">
        <v>316</v>
      </c>
      <c r="D55" s="68" t="n">
        <f aca="false">Model!K152</f>
        <v>1.12562614835714</v>
      </c>
      <c r="E55" s="68" t="n">
        <f aca="false">Model!K348</f>
        <v>3.623249106</v>
      </c>
      <c r="F55" s="68" t="n">
        <f aca="false">Model!K544</f>
        <v>8.88149239885714</v>
      </c>
    </row>
    <row r="56" customFormat="false" ht="15" hidden="false" customHeight="false" outlineLevel="0" collapsed="false">
      <c r="B56" s="21" t="s">
        <v>430</v>
      </c>
      <c r="C56" s="11" t="s">
        <v>275</v>
      </c>
      <c r="D56" s="70" t="n">
        <f aca="false">Model!L154</f>
        <v>214.59546</v>
      </c>
      <c r="E56" s="70" t="n">
        <f aca="false">Model!L350</f>
        <v>2719.9152</v>
      </c>
      <c r="F56" s="70" t="n">
        <f aca="false">Model!L546</f>
        <v>19530.74592</v>
      </c>
    </row>
    <row r="57" customFormat="false" ht="15" hidden="false" customHeight="false" outlineLevel="0" collapsed="false">
      <c r="B57" s="21" t="s">
        <v>431</v>
      </c>
      <c r="C57" s="11" t="s">
        <v>47</v>
      </c>
      <c r="D57" s="70" t="n">
        <f aca="false">Model!K185</f>
        <v>44.8987225660444</v>
      </c>
      <c r="E57" s="70" t="n">
        <f aca="false">Model!K381</f>
        <v>188.560273663042</v>
      </c>
      <c r="F57" s="70" t="n">
        <f aca="false">Model!K577</f>
        <v>632.633969279415</v>
      </c>
    </row>
    <row r="58" customFormat="false" ht="15" hidden="false" customHeight="false" outlineLevel="0" collapsed="false">
      <c r="B58" s="21" t="s">
        <v>432</v>
      </c>
      <c r="C58" s="11" t="s">
        <v>47</v>
      </c>
      <c r="D58" s="70" t="n">
        <f aca="false">Model!K186</f>
        <v>62.2233302020871</v>
      </c>
      <c r="E58" s="70" t="n">
        <f aca="false">Model!K382</f>
        <v>323.296101689014</v>
      </c>
      <c r="F58" s="70" t="n">
        <f aca="false">Model!K578</f>
        <v>1217.96202408141</v>
      </c>
    </row>
    <row r="59" customFormat="false" ht="15" hidden="false" customHeight="false" outlineLevel="0" collapsed="false">
      <c r="B59" s="21" t="s">
        <v>375</v>
      </c>
      <c r="C59" s="11" t="s">
        <v>376</v>
      </c>
      <c r="D59" s="72" t="n">
        <f aca="false">Model!K188</f>
        <v>8.62505867811205</v>
      </c>
      <c r="E59" s="72" t="n">
        <f aca="false">Model!K384</f>
        <v>1.23871058633125</v>
      </c>
      <c r="F59" s="72" t="n">
        <f aca="false">Model!K580</f>
        <v>0.244230924490956</v>
      </c>
    </row>
    <row r="60" customFormat="false" ht="15" hidden="false" customHeight="false" outlineLevel="0" collapsed="false">
      <c r="B60" s="21" t="s">
        <v>433</v>
      </c>
      <c r="C60" s="11" t="s">
        <v>47</v>
      </c>
      <c r="D60" s="70" t="n">
        <f aca="false">Model!K195</f>
        <v>831.217391304348</v>
      </c>
      <c r="E60" s="70" t="n">
        <f aca="false">Model!K391</f>
        <v>2271.4</v>
      </c>
      <c r="F60" s="70" t="n">
        <f aca="false">Model!K587</f>
        <v>6544.21428571429</v>
      </c>
    </row>
    <row r="61" customFormat="false" ht="15" hidden="false" customHeight="false" outlineLevel="0" collapsed="false">
      <c r="B61" s="21" t="s">
        <v>434</v>
      </c>
      <c r="C61" s="11" t="s">
        <v>385</v>
      </c>
      <c r="D61" s="72" t="n">
        <f aca="false">Model!K196</f>
        <v>6.7810704566072</v>
      </c>
      <c r="E61" s="72" t="n">
        <f aca="false">Model!K392</f>
        <v>13.7178051511758</v>
      </c>
      <c r="F61" s="72" t="n">
        <f aca="false">Model!K588</f>
        <v>26.584752862329</v>
      </c>
    </row>
    <row r="62" customFormat="false" ht="15" hidden="false" customHeight="false" outlineLevel="0" collapsed="false">
      <c r="B62" s="21" t="s">
        <v>435</v>
      </c>
      <c r="C62" s="11" t="s">
        <v>47</v>
      </c>
      <c r="D62" s="70" t="n">
        <f aca="false">Model!K200</f>
        <v>-14</v>
      </c>
      <c r="E62" s="70" t="n">
        <f aca="false">Model!K396</f>
        <v>201</v>
      </c>
      <c r="F62" s="70" t="n">
        <f aca="false">Model!K592</f>
        <v>781</v>
      </c>
    </row>
    <row r="64" customFormat="false" ht="15" hidden="false" customHeight="false" outlineLevel="0" collapsed="false">
      <c r="B64" s="66" t="s">
        <v>436</v>
      </c>
    </row>
    <row r="65" customFormat="false" ht="15" hidden="false" customHeight="false" outlineLevel="0" collapsed="false">
      <c r="B65" s="7" t="s">
        <v>394</v>
      </c>
      <c r="C65" s="7" t="s">
        <v>35</v>
      </c>
      <c r="D65" s="7" t="s">
        <v>437</v>
      </c>
      <c r="E65" s="7" t="s">
        <v>438</v>
      </c>
      <c r="F65" s="7" t="s">
        <v>439</v>
      </c>
      <c r="G65" s="7" t="s">
        <v>440</v>
      </c>
      <c r="H65" s="7" t="s">
        <v>441</v>
      </c>
    </row>
    <row r="66" customFormat="false" ht="15" hidden="false" customHeight="false" outlineLevel="0" collapsed="false">
      <c r="B66" s="21" t="s">
        <v>428</v>
      </c>
      <c r="C66" s="11" t="s">
        <v>316</v>
      </c>
      <c r="D66" s="68" t="n">
        <f aca="false">Model!K210</f>
        <v>1.32515</v>
      </c>
      <c r="E66" s="68" t="n">
        <f aca="false">Model!K244</f>
        <v>0.757228571428572</v>
      </c>
      <c r="F66" s="68" t="n">
        <f aca="false">Model!K279</f>
        <v>0.0302891428571429</v>
      </c>
      <c r="G66" s="68" t="n">
        <f aca="false">Model!K316</f>
        <v>0.000567921428571429</v>
      </c>
      <c r="H66" s="69" t="n">
        <f aca="false">Model!K346</f>
        <v>2.11323563571429</v>
      </c>
    </row>
    <row r="67" customFormat="false" ht="15" hidden="false" customHeight="false" outlineLevel="0" collapsed="false">
      <c r="B67" s="21" t="s">
        <v>429</v>
      </c>
      <c r="C67" s="11" t="s">
        <v>316</v>
      </c>
      <c r="D67" s="68" t="n">
        <f aca="false">Model!K214</f>
        <v>1.353584</v>
      </c>
      <c r="E67" s="68" t="n">
        <f aca="false">Model!K248</f>
        <v>1.90931942857143</v>
      </c>
      <c r="F67" s="68" t="n">
        <f aca="false">Model!K283</f>
        <v>0.303541348571429</v>
      </c>
      <c r="G67" s="68" t="n">
        <f aca="false">Model!K320</f>
        <v>0.0568043288571429</v>
      </c>
      <c r="H67" s="69" t="n">
        <f aca="false">Model!K348</f>
        <v>3.623249106</v>
      </c>
    </row>
    <row r="68" customFormat="false" ht="15" hidden="false" customHeight="false" outlineLevel="0" collapsed="false">
      <c r="B68" s="21" t="s">
        <v>417</v>
      </c>
      <c r="C68" s="11" t="s">
        <v>275</v>
      </c>
      <c r="D68" s="70" t="n">
        <f aca="false">Model!L225</f>
        <v>399.9819787875</v>
      </c>
      <c r="E68" s="70" t="n">
        <f aca="false">Model!L260</f>
        <v>1683.07750992857</v>
      </c>
      <c r="F68" s="70" t="n">
        <f aca="false">Model!L296</f>
        <v>252.743093254286</v>
      </c>
      <c r="G68" s="70" t="n">
        <f aca="false">Model!L330</f>
        <v>46.458431391375</v>
      </c>
      <c r="H68" s="71" t="n">
        <f aca="false">Model!L356</f>
        <v>2382.26101336173</v>
      </c>
    </row>
    <row r="69" customFormat="false" ht="15" hidden="false" customHeight="false" outlineLevel="0" collapsed="false">
      <c r="B69" s="21" t="s">
        <v>424</v>
      </c>
      <c r="C69" s="11" t="s">
        <v>275</v>
      </c>
      <c r="D69" s="42" t="n">
        <f aca="false">Model!L232</f>
        <v>60.152976813015</v>
      </c>
      <c r="E69" s="42" t="n">
        <f aca="false">Model!L267</f>
        <v>63.8646569822572</v>
      </c>
      <c r="F69" s="42" t="n">
        <f aca="false">Model!L304</f>
        <v>8.58205178929029</v>
      </c>
      <c r="G69" s="42" t="n">
        <f aca="false">Model!L337</f>
        <v>1.06158053079919</v>
      </c>
      <c r="H69" s="67" t="n">
        <f aca="false">Model!L367</f>
        <v>133.661266115362</v>
      </c>
    </row>
    <row r="70" customFormat="false" ht="15" hidden="false" customHeight="false" outlineLevel="0" collapsed="false">
      <c r="B70" s="21" t="s">
        <v>442</v>
      </c>
      <c r="C70" s="11" t="s">
        <v>275</v>
      </c>
      <c r="D70" s="42" t="n">
        <f aca="false">Model!L241</f>
        <v>39.552120867515</v>
      </c>
      <c r="E70" s="42" t="n">
        <f aca="false">Model!L276</f>
        <v>34.8925479322572</v>
      </c>
      <c r="F70" s="42" t="n">
        <f aca="false">Model!L313</f>
        <v>4.26823062729029</v>
      </c>
      <c r="G70" s="42" t="n">
        <f aca="false">Model!L344</f>
        <v>0.293962089725979</v>
      </c>
      <c r="H70" s="67" t="n">
        <f aca="false">Model!L376</f>
        <v>79.0068615167884</v>
      </c>
    </row>
    <row r="71" customFormat="false" ht="15" hidden="false" customHeight="false" outlineLevel="0" collapsed="false">
      <c r="B71" s="21" t="s">
        <v>421</v>
      </c>
      <c r="C71" s="11" t="s">
        <v>275</v>
      </c>
      <c r="D71" s="42" t="n">
        <f aca="false">Model!K241</f>
        <v>9.82410987231</v>
      </c>
      <c r="E71" s="42" t="n">
        <f aca="false">Model!K276</f>
        <v>8.74503350935715</v>
      </c>
      <c r="F71" s="42" t="n">
        <f aca="false">Model!K313</f>
        <v>1.07089722837429</v>
      </c>
      <c r="G71" s="42" t="n">
        <f aca="false">Model!K344</f>
        <v>0.123150197117732</v>
      </c>
      <c r="H71" s="67" t="n">
        <f aca="false">Model!K376</f>
        <v>19.7631908071592</v>
      </c>
    </row>
    <row r="72" customFormat="false" ht="15" hidden="false" customHeight="false" outlineLevel="0" collapsed="false">
      <c r="B72" s="21" t="s">
        <v>443</v>
      </c>
      <c r="C72" s="11" t="s">
        <v>365</v>
      </c>
      <c r="D72" s="23" t="n">
        <f aca="false">IF($H$70&lt;&gt;0,D70/$H$70,0)</f>
        <v>0.500616276968684</v>
      </c>
      <c r="E72" s="23" t="n">
        <f aca="false">IF($H$70&lt;&gt;0,E70/$H$70,0)</f>
        <v>0.441639463489418</v>
      </c>
      <c r="F72" s="23" t="n">
        <f aca="false">IF($H$70&lt;&gt;0,F70/$H$70,0)</f>
        <v>0.0540235435928981</v>
      </c>
      <c r="G72" s="23" t="n">
        <f aca="false">IF($H$70&lt;&gt;0,G70/$H$70,0)</f>
        <v>0.00372071594900038</v>
      </c>
      <c r="H72" s="61" t="n">
        <f aca="false">SUM(D72:G72)</f>
        <v>1</v>
      </c>
    </row>
    <row r="73" customFormat="false" ht="15" hidden="false" customHeight="false" outlineLevel="0" collapsed="false">
      <c r="B73" s="21" t="s">
        <v>444</v>
      </c>
      <c r="C73" s="11" t="s">
        <v>47</v>
      </c>
      <c r="D73" s="34" t="n">
        <f aca="false">IF(D66&gt;0,D71*100/D66/3,0)</f>
        <v>247.11944238539</v>
      </c>
      <c r="E73" s="34" t="n">
        <f aca="false">IF(E66&gt;0,E71*100/E66/3,0)</f>
        <v>384.957895115647</v>
      </c>
      <c r="F73" s="34" t="n">
        <f aca="false">IF(F66&gt;0,F71*100/F66/3,0)</f>
        <v>1178.52705332415</v>
      </c>
      <c r="G73" s="34" t="n">
        <f aca="false">IF(G66&gt;0,G71*100/G66/3,0)</f>
        <v>7228.1241102611</v>
      </c>
      <c r="H73" s="34" t="n">
        <f aca="false">IF(H66&gt;0,H71*100/H66/3,0)</f>
        <v>311.736663802111</v>
      </c>
    </row>
    <row r="75" customFormat="false" ht="15" hidden="false" customHeight="false" outlineLevel="0" collapsed="false">
      <c r="B75" s="66" t="s">
        <v>445</v>
      </c>
    </row>
    <row r="76" customFormat="false" ht="15" hidden="false" customHeight="false" outlineLevel="0" collapsed="false">
      <c r="B76" s="17" t="s">
        <v>446</v>
      </c>
      <c r="C76" s="11" t="s">
        <v>71</v>
      </c>
      <c r="D76" s="77" t="n">
        <v>1</v>
      </c>
      <c r="E76" s="77" t="n">
        <v>3</v>
      </c>
      <c r="F76" s="77" t="n">
        <v>5</v>
      </c>
      <c r="G76" s="77" t="n">
        <v>6</v>
      </c>
      <c r="H76" s="77" t="n">
        <v>10</v>
      </c>
      <c r="I76" s="77" t="n">
        <v>20</v>
      </c>
      <c r="J76" s="77" t="n">
        <v>50</v>
      </c>
      <c r="K76" s="77" t="n">
        <v>100</v>
      </c>
      <c r="L76" s="77" t="n">
        <v>1000</v>
      </c>
    </row>
    <row r="77" customFormat="false" ht="15" hidden="false" customHeight="false" outlineLevel="0" collapsed="false">
      <c r="B77" s="21" t="s">
        <v>447</v>
      </c>
      <c r="C77" s="11" t="s">
        <v>47</v>
      </c>
      <c r="D77" s="34" t="n">
        <f aca="false">Assumptions!$E$25</f>
        <v>199</v>
      </c>
      <c r="E77" s="34" t="n">
        <f aca="false">Assumptions!$E$25</f>
        <v>199</v>
      </c>
      <c r="F77" s="34" t="n">
        <f aca="false">Assumptions!$E$25</f>
        <v>199</v>
      </c>
      <c r="G77" s="34" t="n">
        <f aca="false">Assumptions!$E$25</f>
        <v>199</v>
      </c>
      <c r="H77" s="34" t="n">
        <f aca="false">Assumptions!$E$25</f>
        <v>199</v>
      </c>
      <c r="I77" s="34" t="n">
        <f aca="false">Assumptions!$E$25</f>
        <v>199</v>
      </c>
      <c r="J77" s="34" t="n">
        <f aca="false">Assumptions!$E$25</f>
        <v>199</v>
      </c>
      <c r="K77" s="34" t="n">
        <f aca="false">Assumptions!$E$25</f>
        <v>199</v>
      </c>
      <c r="L77" s="34" t="n">
        <f aca="false">Assumptions!$E$25</f>
        <v>199</v>
      </c>
    </row>
    <row r="78" customFormat="false" ht="15" hidden="false" customHeight="false" outlineLevel="0" collapsed="false">
      <c r="B78" s="21" t="s">
        <v>448</v>
      </c>
      <c r="C78" s="11" t="s">
        <v>47</v>
      </c>
      <c r="D78" s="34" t="n">
        <f aca="false">MAX(0,MIN(D$76,10)-5)*Assumptions!$E$26+MAX(0,MIN(D$76,20)-10)*Assumptions!$E$27+MAX(0,D$76-20)*Assumptions!$E$28</f>
        <v>0</v>
      </c>
      <c r="E78" s="34" t="n">
        <f aca="false">MAX(0,MIN(E$76,10)-5)*Assumptions!$E$26+MAX(0,MIN(E$76,20)-10)*Assumptions!$E$27+MAX(0,E$76-20)*Assumptions!$E$28</f>
        <v>0</v>
      </c>
      <c r="F78" s="34" t="n">
        <f aca="false">MAX(0,MIN(F$76,10)-5)*Assumptions!$E$26+MAX(0,MIN(F$76,20)-10)*Assumptions!$E$27+MAX(0,F$76-20)*Assumptions!$E$28</f>
        <v>0</v>
      </c>
      <c r="G78" s="34" t="n">
        <f aca="false">MAX(0,MIN(G$76,10)-5)*Assumptions!$E$26+MAX(0,MIN(G$76,20)-10)*Assumptions!$E$27+MAX(0,G$76-20)*Assumptions!$E$28</f>
        <v>49</v>
      </c>
      <c r="H78" s="34" t="n">
        <f aca="false">MAX(0,MIN(H$76,10)-5)*Assumptions!$E$26+MAX(0,MIN(H$76,20)-10)*Assumptions!$E$27+MAX(0,H$76-20)*Assumptions!$E$28</f>
        <v>245</v>
      </c>
      <c r="I78" s="34" t="n">
        <f aca="false">MAX(0,MIN(I$76,10)-5)*Assumptions!$E$26+MAX(0,MIN(I$76,20)-10)*Assumptions!$E$27+MAX(0,I$76-20)*Assumptions!$E$28</f>
        <v>1035</v>
      </c>
      <c r="J78" s="34" t="n">
        <f aca="false">MAX(0,MIN(J$76,10)-5)*Assumptions!$E$26+MAX(0,MIN(J$76,20)-10)*Assumptions!$E$27+MAX(0,J$76-20)*Assumptions!$E$28</f>
        <v>4005</v>
      </c>
      <c r="K78" s="34" t="n">
        <f aca="false">MAX(0,MIN(K$76,10)-5)*Assumptions!$E$26+MAX(0,MIN(K$76,20)-10)*Assumptions!$E$27+MAX(0,K$76-20)*Assumptions!$E$28</f>
        <v>8955</v>
      </c>
      <c r="L78" s="34" t="n">
        <f aca="false">MAX(0,MIN(L$76,10)-5)*Assumptions!$E$26+MAX(0,MIN(L$76,20)-10)*Assumptions!$E$27+MAX(0,L$76-20)*Assumptions!$E$28</f>
        <v>98055</v>
      </c>
    </row>
    <row r="79" customFormat="false" ht="15" hidden="false" customHeight="false" outlineLevel="0" collapsed="false">
      <c r="B79" s="17" t="s">
        <v>449</v>
      </c>
      <c r="C79" s="11" t="s">
        <v>47</v>
      </c>
      <c r="D79" s="55" t="n">
        <f aca="false">D77+D78</f>
        <v>199</v>
      </c>
      <c r="E79" s="55" t="n">
        <f aca="false">E77+E78</f>
        <v>199</v>
      </c>
      <c r="F79" s="55" t="n">
        <f aca="false">F77+F78</f>
        <v>199</v>
      </c>
      <c r="G79" s="55" t="n">
        <f aca="false">G77+G78</f>
        <v>248</v>
      </c>
      <c r="H79" s="55" t="n">
        <f aca="false">H77+H78</f>
        <v>444</v>
      </c>
      <c r="I79" s="55" t="n">
        <f aca="false">I77+I78</f>
        <v>1234</v>
      </c>
      <c r="J79" s="55" t="n">
        <f aca="false">J77+J78</f>
        <v>4204</v>
      </c>
      <c r="K79" s="55" t="n">
        <f aca="false">K77+K78</f>
        <v>9154</v>
      </c>
      <c r="L79" s="55" t="n">
        <f aca="false">L77+L78</f>
        <v>98254</v>
      </c>
    </row>
    <row r="80" customFormat="false" ht="15" hidden="false" customHeight="false" outlineLevel="0" collapsed="false">
      <c r="B80" s="21" t="s">
        <v>450</v>
      </c>
      <c r="C80" s="11" t="s">
        <v>451</v>
      </c>
      <c r="D80" s="34" t="n">
        <f aca="false">D79/D$76</f>
        <v>199</v>
      </c>
      <c r="E80" s="34" t="n">
        <f aca="false">E79/E$76</f>
        <v>66.3333333333333</v>
      </c>
      <c r="F80" s="34" t="n">
        <f aca="false">F79/F$76</f>
        <v>39.8</v>
      </c>
      <c r="G80" s="34" t="n">
        <f aca="false">G79/G$76</f>
        <v>41.3333333333333</v>
      </c>
      <c r="H80" s="34" t="n">
        <f aca="false">H79/H$76</f>
        <v>44.4</v>
      </c>
      <c r="I80" s="34" t="n">
        <f aca="false">I79/I$76</f>
        <v>61.7</v>
      </c>
      <c r="J80" s="34" t="n">
        <f aca="false">J79/J$76</f>
        <v>84.08</v>
      </c>
      <c r="K80" s="34" t="n">
        <f aca="false">K79/K$76</f>
        <v>91.54</v>
      </c>
      <c r="L80" s="34" t="n">
        <f aca="false">L79/L$76</f>
        <v>98.254</v>
      </c>
    </row>
    <row r="81" customFormat="false" ht="15" hidden="false" customHeight="false" outlineLevel="0" collapsed="false">
      <c r="B81" s="17" t="s">
        <v>452</v>
      </c>
      <c r="C81" s="11" t="s">
        <v>47</v>
      </c>
      <c r="D81" s="55" t="n">
        <f aca="false">D79+D$76*Assumptions!$E$29</f>
        <v>298</v>
      </c>
      <c r="E81" s="55" t="n">
        <f aca="false">E79+E$76*Assumptions!$E$29</f>
        <v>496</v>
      </c>
      <c r="F81" s="55" t="n">
        <f aca="false">F79+F$76*Assumptions!$E$29</f>
        <v>694</v>
      </c>
      <c r="G81" s="55" t="n">
        <f aca="false">G79+G$76*Assumptions!$E$29</f>
        <v>842</v>
      </c>
      <c r="H81" s="55" t="n">
        <f aca="false">H79+H$76*Assumptions!$E$29</f>
        <v>1434</v>
      </c>
      <c r="I81" s="55" t="n">
        <f aca="false">I79+I$76*Assumptions!$E$29</f>
        <v>3214</v>
      </c>
      <c r="J81" s="55" t="n">
        <f aca="false">J79+J$76*Assumptions!$E$29</f>
        <v>9154</v>
      </c>
      <c r="K81" s="55" t="n">
        <f aca="false">K79+K$76*Assumptions!$E$29</f>
        <v>19054</v>
      </c>
      <c r="L81" s="55" t="n">
        <f aca="false">L79+L$76*Assumptions!$E$29</f>
        <v>197254</v>
      </c>
    </row>
    <row r="82" customFormat="false" ht="15" hidden="false" customHeight="false" outlineLevel="0" collapsed="false">
      <c r="B82" s="21" t="s">
        <v>453</v>
      </c>
      <c r="C82" s="11" t="s">
        <v>451</v>
      </c>
      <c r="D82" s="34" t="n">
        <f aca="false">D81/D$76</f>
        <v>298</v>
      </c>
      <c r="E82" s="34" t="n">
        <f aca="false">E81/E$76</f>
        <v>165.333333333333</v>
      </c>
      <c r="F82" s="34" t="n">
        <f aca="false">F81/F$76</f>
        <v>138.8</v>
      </c>
      <c r="G82" s="34" t="n">
        <f aca="false">G81/G$76</f>
        <v>140.333333333333</v>
      </c>
      <c r="H82" s="34" t="n">
        <f aca="false">H81/H$76</f>
        <v>143.4</v>
      </c>
      <c r="I82" s="34" t="n">
        <f aca="false">I81/I$76</f>
        <v>160.7</v>
      </c>
      <c r="J82" s="34" t="n">
        <f aca="false">J81/J$76</f>
        <v>183.08</v>
      </c>
      <c r="K82" s="34" t="n">
        <f aca="false">K81/K$76</f>
        <v>190.54</v>
      </c>
      <c r="L82" s="34" t="n">
        <f aca="false">L81/L$76</f>
        <v>197.254</v>
      </c>
    </row>
    <row r="84" customFormat="false" ht="15" hidden="false" customHeight="false" outlineLevel="0" collapsed="false">
      <c r="B84" s="66" t="s">
        <v>454</v>
      </c>
    </row>
    <row r="85" customFormat="false" ht="15" hidden="false" customHeight="false" outlineLevel="0" collapsed="false">
      <c r="B85" s="3" t="s">
        <v>455</v>
      </c>
      <c r="C85" s="11" t="s">
        <v>362</v>
      </c>
      <c r="D85" s="42" t="n">
        <f aca="false">Baseline!E12</f>
        <v>7.1</v>
      </c>
    </row>
    <row r="86" customFormat="false" ht="15" hidden="false" customHeight="false" outlineLevel="0" collapsed="false">
      <c r="B86" s="3" t="s">
        <v>456</v>
      </c>
      <c r="C86" s="11" t="s">
        <v>362</v>
      </c>
      <c r="D86" s="42" t="n">
        <f aca="false">Baseline!E22</f>
        <v>10.3878571428571</v>
      </c>
    </row>
    <row r="87" customFormat="false" ht="15" hidden="false" customHeight="false" outlineLevel="0" collapsed="false">
      <c r="B87" s="3" t="s">
        <v>457</v>
      </c>
      <c r="C87" s="11" t="s">
        <v>362</v>
      </c>
      <c r="D87" s="42" t="n">
        <f aca="false">Baseline!G22</f>
        <v>12.8514257101601</v>
      </c>
    </row>
    <row r="88" customFormat="false" ht="15" hidden="false" customHeight="false" outlineLevel="0" collapsed="false">
      <c r="B88" s="3" t="s">
        <v>458</v>
      </c>
      <c r="C88" s="11" t="s">
        <v>459</v>
      </c>
      <c r="D88" s="42" t="n">
        <f aca="false">Baseline!H22</f>
        <v>2.22714285714286</v>
      </c>
    </row>
    <row r="89" customFormat="false" ht="15" hidden="false" customHeight="false" outlineLevel="0" collapsed="false">
      <c r="B89" s="3" t="s">
        <v>460</v>
      </c>
      <c r="C89" s="11" t="s">
        <v>275</v>
      </c>
      <c r="D89" s="70" t="n">
        <f aca="false">Baseline!F27</f>
        <v>1350</v>
      </c>
    </row>
    <row r="90" customFormat="false" ht="15" hidden="false" customHeight="false" outlineLevel="0" collapsed="false">
      <c r="B90" s="3" t="s">
        <v>461</v>
      </c>
      <c r="C90" s="11" t="s">
        <v>275</v>
      </c>
      <c r="D90" s="70" t="n">
        <f aca="false">Baseline!F29</f>
        <v>203</v>
      </c>
    </row>
    <row r="91" customFormat="false" ht="15" hidden="false" customHeight="false" outlineLevel="0" collapsed="false">
      <c r="B91" s="3" t="s">
        <v>462</v>
      </c>
      <c r="C91" s="11" t="s">
        <v>275</v>
      </c>
      <c r="D91" s="70" t="n">
        <f aca="false">Baseline!F31</f>
        <v>814</v>
      </c>
    </row>
    <row r="92" customFormat="false" ht="23.85" hidden="false" customHeight="false" outlineLevel="0" collapsed="false">
      <c r="B92" s="3" t="s">
        <v>463</v>
      </c>
      <c r="C92" s="11" t="s">
        <v>275</v>
      </c>
      <c r="D92" s="42" t="n">
        <f aca="false">Baseline!F36</f>
        <v>45.87</v>
      </c>
    </row>
    <row r="93" customFormat="false" ht="15" hidden="false" customHeight="false" outlineLevel="0" collapsed="false">
      <c r="B93" s="3" t="s">
        <v>464</v>
      </c>
      <c r="C93" s="11" t="s">
        <v>275</v>
      </c>
      <c r="D93" s="70" t="n">
        <f aca="false">Baseline!F37</f>
        <v>1792.07</v>
      </c>
    </row>
    <row r="94" customFormat="false" ht="15" hidden="false" customHeight="false" outlineLevel="0" collapsed="false">
      <c r="B94" s="3" t="s">
        <v>465</v>
      </c>
      <c r="C94" s="11" t="s">
        <v>275</v>
      </c>
      <c r="D94" s="42" t="n">
        <f aca="false">Baseline!F38</f>
        <v>29.52</v>
      </c>
    </row>
    <row r="95" customFormat="false" ht="15" hidden="false" customHeight="false" outlineLevel="0" collapsed="false">
      <c r="B95" s="3" t="s">
        <v>466</v>
      </c>
      <c r="C95" s="11" t="s">
        <v>275</v>
      </c>
      <c r="D95" s="42" t="n">
        <f aca="false">Baseline!F39</f>
        <v>26.22</v>
      </c>
    </row>
    <row r="96" customFormat="false" ht="15" hidden="false" customHeight="false" outlineLevel="0" collapsed="false">
      <c r="B96" s="3" t="s">
        <v>467</v>
      </c>
      <c r="C96" s="11" t="s">
        <v>275</v>
      </c>
      <c r="D96" s="70" t="n">
        <f aca="false">Baseline!F40</f>
        <v>20419.56</v>
      </c>
    </row>
    <row r="97" customFormat="false" ht="15" hidden="false" customHeight="false" outlineLevel="0" collapsed="false">
      <c r="B97" s="3" t="s">
        <v>468</v>
      </c>
      <c r="C97" s="11" t="s">
        <v>275</v>
      </c>
      <c r="D97" s="42" t="n">
        <f aca="false">Baseline!F41</f>
        <v>70.01</v>
      </c>
    </row>
    <row r="98" customFormat="false" ht="15" hidden="false" customHeight="false" outlineLevel="0" collapsed="false">
      <c r="B98" s="3" t="s">
        <v>469</v>
      </c>
      <c r="C98" s="11" t="s">
        <v>365</v>
      </c>
      <c r="D98" s="78" t="n">
        <f aca="false">Model!K386</f>
        <v>0.0155724892944893</v>
      </c>
    </row>
    <row r="100" customFormat="false" ht="15" hidden="false" customHeight="false" outlineLevel="0" collapsed="false">
      <c r="B100" s="66" t="s">
        <v>470</v>
      </c>
    </row>
    <row r="101" customFormat="false" ht="23.85" hidden="false" customHeight="false" outlineLevel="0" collapsed="false">
      <c r="B101" s="3" t="s">
        <v>471</v>
      </c>
      <c r="D101" s="18" t="str">
        <f aca="false">IF(AND(Assumptions!D11+Assumptions!D12*Assumptions!D15+Assumptions!D13*Assumptions!D16+Assumptions!D14*Assumptions!D17&lt;=1,Assumptions!E11+Assumptions!E12*Assumptions!E15+Assumptions!E13*Assumptions!E16+Assumptions!E14*Assumptions!E17&lt;=1,Assumptions!F11+Assumptions!F12*Assumptions!F15+Assumptions!F13*Assumptions!F16+Assumptions!F14*Assumptions!F17&lt;=1),"OK","CHECK")</f>
        <v>OK</v>
      </c>
    </row>
    <row r="102" customFormat="false" ht="15" hidden="false" customHeight="false" outlineLevel="0" collapsed="false">
      <c r="B102" s="3" t="s">
        <v>472</v>
      </c>
      <c r="D102" s="18" t="str">
        <f aca="false">IF(ABS(SUM(L14:L18)-L13)&lt;0.001,"OK","CHECK")</f>
        <v>OK</v>
      </c>
    </row>
    <row r="103" customFormat="false" ht="15" hidden="false" customHeight="false" outlineLevel="0" collapsed="false">
      <c r="B103" s="3" t="s">
        <v>473</v>
      </c>
      <c r="D103" s="18" t="str">
        <f aca="false">IF(ABS(SUM(L22:L27)-L21)&lt;0.001,"OK","CHECK")</f>
        <v>OK</v>
      </c>
    </row>
    <row r="104" customFormat="false" ht="15" hidden="false" customHeight="false" outlineLevel="0" collapsed="false">
      <c r="B104" s="3" t="s">
        <v>474</v>
      </c>
      <c r="D104" s="18" t="str">
        <f aca="false">IF(ABS(SUM(L30:L33)-L29)&lt;0.001,"OK","CHECK")</f>
        <v>OK</v>
      </c>
    </row>
    <row r="105" customFormat="false" ht="23.85" hidden="false" customHeight="false" outlineLevel="0" collapsed="false">
      <c r="B105" s="3" t="s">
        <v>475</v>
      </c>
      <c r="D105" s="18" t="str">
        <f aca="false">IF(E49&lt;0.5,"OK","CHECK")</f>
        <v>OK</v>
      </c>
    </row>
    <row r="106" customFormat="false" ht="15" hidden="false" customHeight="false" outlineLevel="0" collapsed="false">
      <c r="B106" s="3" t="s">
        <v>476</v>
      </c>
      <c r="D106" s="18" t="str">
        <f aca="false">IF(MIN(D29:K29)&gt;0,"OK","CHECK")</f>
        <v>OK</v>
      </c>
    </row>
    <row r="107" customFormat="false" ht="15" hidden="false" customHeight="false" outlineLevel="0" collapsed="false">
      <c r="B107" s="3" t="s">
        <v>477</v>
      </c>
      <c r="D107" s="18" t="str">
        <f aca="false">IF(D43&gt;0,"OK","CHECK")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10"/>
  </cols>
  <sheetData>
    <row r="1" customFormat="false" ht="16.15" hidden="false" customHeight="false" outlineLevel="0" collapsed="false">
      <c r="A1" s="5" t="s">
        <v>478</v>
      </c>
    </row>
    <row r="3" customFormat="false" ht="15" hidden="false" customHeight="false" outlineLevel="0" collapsed="false">
      <c r="A3" s="7" t="s">
        <v>33</v>
      </c>
      <c r="B3" s="7" t="s">
        <v>479</v>
      </c>
      <c r="C3" s="7" t="s">
        <v>480</v>
      </c>
    </row>
    <row r="4" customFormat="false" ht="39.75" hidden="false" customHeight="true" outlineLevel="0" collapsed="false">
      <c r="A4" s="11" t="s">
        <v>56</v>
      </c>
      <c r="B4" s="3" t="s">
        <v>481</v>
      </c>
      <c r="C4" s="79" t="s">
        <v>482</v>
      </c>
    </row>
    <row r="5" customFormat="false" ht="39.75" hidden="false" customHeight="true" outlineLevel="0" collapsed="false">
      <c r="A5" s="11" t="s">
        <v>60</v>
      </c>
      <c r="B5" s="3" t="s">
        <v>483</v>
      </c>
      <c r="C5" s="79" t="s">
        <v>484</v>
      </c>
    </row>
    <row r="6" customFormat="false" ht="39.75" hidden="false" customHeight="true" outlineLevel="0" collapsed="false">
      <c r="A6" s="11" t="s">
        <v>63</v>
      </c>
      <c r="B6" s="3" t="s">
        <v>485</v>
      </c>
      <c r="C6" s="79" t="s">
        <v>486</v>
      </c>
    </row>
    <row r="7" customFormat="false" ht="39.75" hidden="false" customHeight="true" outlineLevel="0" collapsed="false">
      <c r="A7" s="11" t="s">
        <v>66</v>
      </c>
      <c r="B7" s="3" t="s">
        <v>487</v>
      </c>
      <c r="C7" s="79" t="s">
        <v>488</v>
      </c>
    </row>
    <row r="8" customFormat="false" ht="39.75" hidden="false" customHeight="true" outlineLevel="0" collapsed="false">
      <c r="A8" s="11" t="s">
        <v>69</v>
      </c>
      <c r="B8" s="3" t="s">
        <v>489</v>
      </c>
      <c r="C8" s="79" t="s">
        <v>490</v>
      </c>
    </row>
    <row r="9" customFormat="false" ht="39.75" hidden="false" customHeight="true" outlineLevel="0" collapsed="false">
      <c r="A9" s="11" t="s">
        <v>73</v>
      </c>
      <c r="B9" s="3" t="s">
        <v>491</v>
      </c>
      <c r="C9" s="79" t="s">
        <v>492</v>
      </c>
    </row>
    <row r="10" customFormat="false" ht="39.75" hidden="false" customHeight="true" outlineLevel="0" collapsed="false">
      <c r="A10" s="11" t="s">
        <v>75</v>
      </c>
      <c r="B10" s="3" t="s">
        <v>493</v>
      </c>
      <c r="C10" s="79" t="s">
        <v>494</v>
      </c>
    </row>
    <row r="11" customFormat="false" ht="39.75" hidden="false" customHeight="true" outlineLevel="0" collapsed="false">
      <c r="A11" s="11" t="s">
        <v>495</v>
      </c>
      <c r="B11" s="3" t="s">
        <v>496</v>
      </c>
      <c r="C11" s="79" t="s">
        <v>497</v>
      </c>
    </row>
    <row r="12" customFormat="false" ht="39.75" hidden="false" customHeight="true" outlineLevel="0" collapsed="false">
      <c r="A12" s="11" t="s">
        <v>498</v>
      </c>
      <c r="B12" s="3" t="s">
        <v>499</v>
      </c>
      <c r="C12" s="79" t="s">
        <v>500</v>
      </c>
    </row>
    <row r="13" customFormat="false" ht="39.75" hidden="false" customHeight="true" outlineLevel="0" collapsed="false">
      <c r="A13" s="11" t="s">
        <v>281</v>
      </c>
      <c r="B13" s="3" t="s">
        <v>501</v>
      </c>
      <c r="C13" s="79" t="s">
        <v>502</v>
      </c>
    </row>
    <row r="14" customFormat="false" ht="39.75" hidden="false" customHeight="true" outlineLevel="0" collapsed="false">
      <c r="A14" s="11" t="s">
        <v>503</v>
      </c>
      <c r="B14" s="3" t="s">
        <v>504</v>
      </c>
      <c r="C14" s="79" t="s">
        <v>505</v>
      </c>
    </row>
    <row r="15" customFormat="false" ht="39.75" hidden="false" customHeight="true" outlineLevel="0" collapsed="false">
      <c r="A15" s="11" t="s">
        <v>506</v>
      </c>
      <c r="B15" s="3" t="s">
        <v>507</v>
      </c>
      <c r="C15" s="79" t="s">
        <v>508</v>
      </c>
    </row>
    <row r="16" customFormat="false" ht="39.75" hidden="false" customHeight="true" outlineLevel="0" collapsed="false">
      <c r="A16" s="11" t="s">
        <v>509</v>
      </c>
      <c r="B16" s="3" t="s">
        <v>510</v>
      </c>
      <c r="C16" s="79" t="s">
        <v>511</v>
      </c>
    </row>
    <row r="17" customFormat="false" ht="39.75" hidden="false" customHeight="true" outlineLevel="0" collapsed="false">
      <c r="A17" s="11" t="s">
        <v>512</v>
      </c>
      <c r="B17" s="3" t="s">
        <v>513</v>
      </c>
      <c r="C17" s="79" t="s">
        <v>514</v>
      </c>
    </row>
    <row r="18" customFormat="false" ht="39.75" hidden="false" customHeight="true" outlineLevel="0" collapsed="false">
      <c r="A18" s="11" t="s">
        <v>515</v>
      </c>
      <c r="B18" s="3" t="s">
        <v>516</v>
      </c>
      <c r="C18" s="79" t="s">
        <v>517</v>
      </c>
    </row>
    <row r="19" customFormat="false" ht="39.75" hidden="false" customHeight="true" outlineLevel="0" collapsed="false">
      <c r="A19" s="11" t="s">
        <v>518</v>
      </c>
      <c r="B19" s="3" t="s">
        <v>519</v>
      </c>
      <c r="C19" s="79" t="s">
        <v>520</v>
      </c>
    </row>
    <row r="20" customFormat="false" ht="39.75" hidden="false" customHeight="true" outlineLevel="0" collapsed="false">
      <c r="A20" s="11" t="s">
        <v>521</v>
      </c>
      <c r="B20" s="3" t="s">
        <v>522</v>
      </c>
      <c r="C20" s="79" t="s">
        <v>523</v>
      </c>
    </row>
    <row r="21" customFormat="false" ht="39.75" hidden="false" customHeight="true" outlineLevel="0" collapsed="false">
      <c r="A21" s="11" t="s">
        <v>524</v>
      </c>
      <c r="B21" s="3" t="s">
        <v>525</v>
      </c>
      <c r="C21" s="79" t="s">
        <v>526</v>
      </c>
    </row>
    <row r="22" customFormat="false" ht="39.75" hidden="false" customHeight="true" outlineLevel="0" collapsed="false">
      <c r="A22" s="11" t="s">
        <v>527</v>
      </c>
      <c r="B22" s="3" t="s">
        <v>528</v>
      </c>
      <c r="C22" s="79" t="s">
        <v>529</v>
      </c>
    </row>
    <row r="23" customFormat="false" ht="39.75" hidden="false" customHeight="true" outlineLevel="0" collapsed="false">
      <c r="A23" s="11" t="s">
        <v>530</v>
      </c>
      <c r="B23" s="3" t="s">
        <v>531</v>
      </c>
      <c r="C23" s="79" t="s">
        <v>532</v>
      </c>
    </row>
    <row r="24" customFormat="false" ht="39.75" hidden="false" customHeight="true" outlineLevel="0" collapsed="false">
      <c r="A24" s="11" t="s">
        <v>533</v>
      </c>
      <c r="B24" s="3" t="s">
        <v>534</v>
      </c>
      <c r="C24" s="79" t="s">
        <v>535</v>
      </c>
    </row>
    <row r="25" customFormat="false" ht="39.75" hidden="false" customHeight="true" outlineLevel="0" collapsed="false">
      <c r="A25" s="11" t="s">
        <v>536</v>
      </c>
      <c r="B25" s="3" t="s">
        <v>537</v>
      </c>
      <c r="C25" s="79" t="s">
        <v>538</v>
      </c>
    </row>
    <row r="26" customFormat="false" ht="39.75" hidden="false" customHeight="true" outlineLevel="0" collapsed="false">
      <c r="A26" s="11" t="s">
        <v>539</v>
      </c>
      <c r="B26" s="3" t="s">
        <v>540</v>
      </c>
      <c r="C26" s="79" t="s">
        <v>541</v>
      </c>
    </row>
    <row r="27" customFormat="false" ht="39.75" hidden="false" customHeight="true" outlineLevel="0" collapsed="false">
      <c r="A27" s="11" t="s">
        <v>542</v>
      </c>
      <c r="B27" s="3" t="s">
        <v>543</v>
      </c>
      <c r="C27" s="79" t="s">
        <v>544</v>
      </c>
    </row>
    <row r="28" customFormat="false" ht="39.75" hidden="false" customHeight="true" outlineLevel="0" collapsed="false">
      <c r="A28" s="11" t="s">
        <v>545</v>
      </c>
      <c r="B28" s="3" t="s">
        <v>546</v>
      </c>
      <c r="C28" s="79" t="s">
        <v>547</v>
      </c>
    </row>
    <row r="29" customFormat="false" ht="39.75" hidden="false" customHeight="true" outlineLevel="0" collapsed="false">
      <c r="A29" s="11" t="s">
        <v>548</v>
      </c>
      <c r="B29" s="3" t="s">
        <v>549</v>
      </c>
      <c r="C29" s="79" t="s">
        <v>550</v>
      </c>
    </row>
    <row r="30" customFormat="false" ht="39.75" hidden="false" customHeight="true" outlineLevel="0" collapsed="false">
      <c r="A30" s="11" t="s">
        <v>551</v>
      </c>
      <c r="B30" s="3" t="s">
        <v>552</v>
      </c>
      <c r="C30" s="79" t="s">
        <v>553</v>
      </c>
    </row>
    <row r="31" customFormat="false" ht="39.75" hidden="false" customHeight="true" outlineLevel="0" collapsed="false">
      <c r="A31" s="11" t="s">
        <v>554</v>
      </c>
      <c r="B31" s="3" t="s">
        <v>555</v>
      </c>
      <c r="C31" s="79" t="s">
        <v>556</v>
      </c>
    </row>
    <row r="32" customFormat="false" ht="39.75" hidden="false" customHeight="true" outlineLevel="0" collapsed="false">
      <c r="A32" s="11" t="s">
        <v>557</v>
      </c>
      <c r="B32" s="3" t="s">
        <v>558</v>
      </c>
      <c r="C32" s="79" t="s">
        <v>559</v>
      </c>
    </row>
    <row r="33" customFormat="false" ht="39.75" hidden="false" customHeight="true" outlineLevel="0" collapsed="false">
      <c r="A33" s="11" t="s">
        <v>560</v>
      </c>
      <c r="B33" s="3" t="s">
        <v>561</v>
      </c>
      <c r="C33" s="79" t="s">
        <v>562</v>
      </c>
    </row>
    <row r="34" customFormat="false" ht="39.75" hidden="false" customHeight="true" outlineLevel="0" collapsed="false">
      <c r="A34" s="11" t="s">
        <v>563</v>
      </c>
      <c r="B34" s="3" t="s">
        <v>564</v>
      </c>
      <c r="C34" s="79" t="s">
        <v>565</v>
      </c>
    </row>
    <row r="35" customFormat="false" ht="39.75" hidden="false" customHeight="true" outlineLevel="0" collapsed="false">
      <c r="A35" s="11" t="s">
        <v>566</v>
      </c>
      <c r="B35" s="3" t="s">
        <v>567</v>
      </c>
      <c r="C35" s="79" t="s">
        <v>568</v>
      </c>
    </row>
    <row r="36" customFormat="false" ht="39.75" hidden="false" customHeight="true" outlineLevel="0" collapsed="false">
      <c r="A36" s="11" t="s">
        <v>569</v>
      </c>
      <c r="B36" s="3" t="s">
        <v>570</v>
      </c>
      <c r="C36" s="79" t="s">
        <v>571</v>
      </c>
    </row>
    <row r="37" customFormat="false" ht="39.75" hidden="false" customHeight="true" outlineLevel="0" collapsed="false">
      <c r="A37" s="11" t="s">
        <v>572</v>
      </c>
      <c r="B37" s="3" t="s">
        <v>573</v>
      </c>
      <c r="C37" s="79" t="s">
        <v>574</v>
      </c>
    </row>
    <row r="38" customFormat="false" ht="39.75" hidden="false" customHeight="true" outlineLevel="0" collapsed="false">
      <c r="A38" s="11" t="s">
        <v>575</v>
      </c>
      <c r="B38" s="3" t="s">
        <v>576</v>
      </c>
      <c r="C38" s="79" t="s">
        <v>577</v>
      </c>
    </row>
    <row r="39" customFormat="false" ht="39.75" hidden="false" customHeight="true" outlineLevel="0" collapsed="false">
      <c r="A39" s="11" t="s">
        <v>578</v>
      </c>
      <c r="B39" s="3" t="s">
        <v>579</v>
      </c>
      <c r="C39" s="79" t="s">
        <v>580</v>
      </c>
    </row>
    <row r="40" customFormat="false" ht="39.75" hidden="false" customHeight="true" outlineLevel="0" collapsed="false">
      <c r="A40" s="11" t="s">
        <v>581</v>
      </c>
      <c r="B40" s="3" t="s">
        <v>582</v>
      </c>
      <c r="C40" s="79" t="s">
        <v>583</v>
      </c>
    </row>
    <row r="41" customFormat="false" ht="39.75" hidden="false" customHeight="true" outlineLevel="0" collapsed="false">
      <c r="A41" s="11" t="s">
        <v>584</v>
      </c>
      <c r="B41" s="3" t="s">
        <v>585</v>
      </c>
      <c r="C41" s="79" t="s">
        <v>586</v>
      </c>
    </row>
    <row r="42" customFormat="false" ht="39.75" hidden="false" customHeight="true" outlineLevel="0" collapsed="false">
      <c r="A42" s="11" t="s">
        <v>587</v>
      </c>
      <c r="B42" s="3" t="s">
        <v>588</v>
      </c>
      <c r="C42" s="79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2026-10-27T09:41:08Z</dcterms:created>
  <dc:creator>openpyxl</dc:creator>
  <dc:description/>
  <dc:language>en-US</dc:language>
  <cp:lastModifiedBy/>
  <dcterms:modified xsi:type="dcterms:W3CDTF">2026-10-27T09:41:08Z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