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Baseline" sheetId="3" state="visible" r:id="rId5"/>
    <sheet name="Model" sheetId="4" state="visible" r:id="rId6"/>
    <sheet name="Summar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<sst xmlns="http://schemas.openxmlformats.org/spreadsheetml/2006/main" count="618" uniqueCount="316">
  <si>
    <t xml:space="preserve">Mohalla Network + Intent Guard: 8-quarter GMV projection</t>
  </si>
  <si>
    <t xml:space="preserve">Paytm Build for India AI Hackathon, Mumbai | Track 1: Merchant Growth AI | Kamalika Poddar</t>
  </si>
  <si>
    <t xml:space="preserve">What this model does</t>
  </si>
  <si>
    <t xml:space="preserve">1. Baseline: Paytm merchant GMV and device (subscription) merchants for Q2 FY27 to Q3 FY29, projected with FORECAST (linear) on 8 reported quarters, Q2 FY25 to Q1 FY27. GROWTH (exponential) is shown alongside as a cross-check.</t>
  </si>
  <si>
    <t xml:space="preserve">2. Bundle: incremental GMV from Mohalla Network (new customers, repeat visits, share of counter, merchants retained), plus Paytm revenue, costs and contribution, for 8 quarters from Q4 FY27 (Jan-Mar 2027 pilot) to Q3 FY29.</t>
  </si>
  <si>
    <t xml:space="preserve">3. Three scenarios (Bear, Base, Bull) run side by side on the Model sheet. Summary pulls the numbers used on the pitch slide.</t>
  </si>
  <si>
    <t xml:space="preserve">How to use it</t>
  </si>
  <si>
    <t xml:space="preserve">Change blue cells on Assumptions (and reported actuals on Baseline). Every other number is a formula and recalculates.</t>
  </si>
  <si>
    <t xml:space="preserve">Colour code: blue text = input | black text = formula | green text = link to another sheet | yellow fill = key assumption.</t>
  </si>
  <si>
    <t xml:space="preserve">Units: lakh = 1,00,000 | crore = 1,00,00,000 | Rs 1 lakh crore = Rs 1,00,000 crore. Quarters follow India's April-March fiscal year.</t>
  </si>
  <si>
    <t xml:space="preserve">Metrics</t>
  </si>
  <si>
    <t xml:space="preserve">North Star: Paytm-processed GMV per active device merchant (tracked on the Model sheet for participating merchants).</t>
  </si>
  <si>
    <t xml:space="preserve">Mechanism metric: share of counter, i.e. the share of a merchant's digital collections that go through Paytm (measured in the pilot via AA-consented bank credits).</t>
  </si>
  <si>
    <t xml:space="preserve">Guardrail: device retention (merchants kept on a paid Paytm device).</t>
  </si>
  <si>
    <t xml:space="preserve">Sheets</t>
  </si>
  <si>
    <t xml:space="preserve">Assumptions: every input, with Bear/Base/Bull values and the reason or source for each.</t>
  </si>
  <si>
    <t xml:space="preserve">Baseline: reported quarterly actuals with sources, FORECAST baseline, GROWTH cross-check, reference metrics.</t>
  </si>
  <si>
    <t xml:space="preserve">Model: the quarter-by-quarter build for each scenario.</t>
  </si>
  <si>
    <t xml:space="preserve">Summary: base-case quarter table and the scenario comparison for the slide.</t>
  </si>
  <si>
    <t xml:space="preserve">Sources: links for every reported number.</t>
  </si>
  <si>
    <t xml:space="preserve">Caveat: reported figures come from Paytm's disclosures and press coverage (see Sources). Everything on Assumptions is a team estimate for a hackathon pitch, not Paytm data.</t>
  </si>
  <si>
    <t xml:space="preserve">Assumptions: Mohalla Network + Intent Guard</t>
  </si>
  <si>
    <t xml:space="preserve">Blue cells are inputs. Bear / Base / Bull columns feed the three scenario blocks on the Model sheet. These are team estimates unless a source is named.</t>
  </si>
  <si>
    <t xml:space="preserve">ID</t>
  </si>
  <si>
    <t xml:space="preserve">Assumption</t>
  </si>
  <si>
    <t xml:space="preserve">Unit</t>
  </si>
  <si>
    <t xml:space="preserve">Bear</t>
  </si>
  <si>
    <t xml:space="preserve">Base</t>
  </si>
  <si>
    <t xml:space="preserve">Bull</t>
  </si>
  <si>
    <t xml:space="preserve">Why this number / source</t>
  </si>
  <si>
    <t xml:space="preserve">Scope and rollout</t>
  </si>
  <si>
    <t xml:space="preserve">A1</t>
  </si>
  <si>
    <t xml:space="preserve">Share of device merchants in dense clusters that can run Mohalla</t>
  </si>
  <si>
    <t xml:space="preserve">% of device merchants</t>
  </si>
  <si>
    <t xml:space="preserve">Needs two or more Paytm-acquired, non-competing shops within ~500 m that share payers. Paytm does not disclose the city split of its device base.</t>
  </si>
  <si>
    <t xml:space="preserve">A2</t>
  </si>
  <si>
    <t xml:space="preserve">Participation: covered eligible merchants who accept at least one partnership</t>
  </si>
  <si>
    <t xml:space="preserve">% of covered merchants</t>
  </si>
  <si>
    <t xml:space="preserve">Team estimate. No public benchmark for opt-in to merchant cross-promotion on payment devices.</t>
  </si>
  <si>
    <t xml:space="preserve">Demand: new customers</t>
  </si>
  <si>
    <t xml:space="preserve">A3</t>
  </si>
  <si>
    <t xml:space="preserve">New customers (first redemptions) per participating merchant per month</t>
  </si>
  <si>
    <t xml:space="preserve">customers / month</t>
  </si>
  <si>
    <t xml:space="preserve">About 1-1.5% of a partner shop's ~1,000 monthly payers redeeming. Each partnership runs both ways.</t>
  </si>
  <si>
    <t xml:space="preserve">A4</t>
  </si>
  <si>
    <t xml:space="preserve">First-visit bill (offer minimum bill)</t>
  </si>
  <si>
    <t xml:space="preserve">Rs per visit</t>
  </si>
  <si>
    <t xml:space="preserve">The reward only fires on a bill at or above the minimum, so the first visit is assumed to sit at the threshold.</t>
  </si>
  <si>
    <t xml:space="preserve">A5</t>
  </si>
  <si>
    <t xml:space="preserve">Share of new customers who become regulars</t>
  </si>
  <si>
    <t xml:space="preserve">% of new customers</t>
  </si>
  <si>
    <t xml:space="preserve">Team estimate.</t>
  </si>
  <si>
    <t xml:space="preserve">A6</t>
  </si>
  <si>
    <t xml:space="preserve">Regulars lost each quarter</t>
  </si>
  <si>
    <t xml:space="preserve">% per quarter</t>
  </si>
  <si>
    <t xml:space="preserve">A7</t>
  </si>
  <si>
    <t xml:space="preserve">Repeat spend per regular per quarter</t>
  </si>
  <si>
    <t xml:space="preserve">Rs per quarter</t>
  </si>
  <si>
    <t xml:space="preserve">Three visits a quarter at Rs 150 / 200 / 250.</t>
  </si>
  <si>
    <t xml:space="preserve">Share of counter and retention</t>
  </si>
  <si>
    <t xml:space="preserve">A8</t>
  </si>
  <si>
    <t xml:space="preserve">Paytm-processed GMV per participating merchant per month, before Mohalla</t>
  </si>
  <si>
    <t xml:space="preserve">Rs / month</t>
  </si>
  <si>
    <t xml:space="preserve">Team estimate for dense urban shops. Ceiling check on Baseline: Q1 FY27 GMV / device merchants / 3 = ~Rs 1.5 lakh a month if all GMV came from device merchants (it does not).</t>
  </si>
  <si>
    <t xml:space="preserve">A9</t>
  </si>
  <si>
    <t xml:space="preserve">Share-of-counter shift: extra share of the merchant's existing collections routed to Paytm</t>
  </si>
  <si>
    <t xml:space="preserve">% of A8</t>
  </si>
  <si>
    <t xml:space="preserve">Rewards only fire on Paytm payments, so shops with several QRs steer customers to Paytm's. Merchants often keep separate soundboxes for PhonePe, Paytm and Google Pay (Sources S9).</t>
  </si>
  <si>
    <t xml:space="preserve">A10</t>
  </si>
  <si>
    <t xml:space="preserve">Drop in annual device churn for participating merchants</t>
  </si>
  <si>
    <t xml:space="preserve">percentage points / year</t>
  </si>
  <si>
    <t xml:space="preserve">Team estimate. Paytm does not disclose device churn. Retained merchants keep A8 GMV.</t>
  </si>
  <si>
    <t xml:space="preserve">Pricing and revenue</t>
  </si>
  <si>
    <t xml:space="preserve">A11</t>
  </si>
  <si>
    <t xml:space="preserve">Reward per redemption, funded by the merchant</t>
  </si>
  <si>
    <t xml:space="preserve">Rs per redemption</t>
  </si>
  <si>
    <t xml:space="preserve">Team estimate. Merchant-funded, never counted as Paytm revenue.</t>
  </si>
  <si>
    <t xml:space="preserve">A12</t>
  </si>
  <si>
    <t xml:space="preserve">Paytm fee per redemption (Mohalla pay-per-new-customer)</t>
  </si>
  <si>
    <t xml:space="preserve">Business model decision: a small fee per redeemed customer. One reward per UPI ID per partnership, so every redemption is a new customer.</t>
  </si>
  <si>
    <t xml:space="preserve">A13</t>
  </si>
  <si>
    <t xml:space="preserve">Growth plan price (Intent Guard autopilot add-on to the Soundbox plan)</t>
  </si>
  <si>
    <t xml:space="preserve">Anchors: Soundbox rental Rs 125-150 a month (S7); Paytm subscription revenue ~Rs 90 per device a month in Q4 FY24 (S8).</t>
  </si>
  <si>
    <t xml:space="preserve">A14</t>
  </si>
  <si>
    <t xml:space="preserve">Growth plan attach rate</t>
  </si>
  <si>
    <t xml:space="preserve">% of participating merchants</t>
  </si>
  <si>
    <t xml:space="preserve">A15</t>
  </si>
  <si>
    <t xml:space="preserve">Payment processing margin on incremental GMV</t>
  </si>
  <si>
    <t xml:space="preserve">% of GMV</t>
  </si>
  <si>
    <t xml:space="preserve">Paytm Q1 FY27: payment processing margin 'comfortably above 4 bps' (S1). Held at 4 bps in all scenarios.</t>
  </si>
  <si>
    <t xml:space="preserve">A16</t>
  </si>
  <si>
    <t xml:space="preserve">Device subscription revenue per retained merchant</t>
  </si>
  <si>
    <t xml:space="preserve">~Rs 90 per device a month in Q4 FY24 (S8); Q1 FY27 release notes a modest YoY decline per device (S1).</t>
  </si>
  <si>
    <t xml:space="preserve">Costs and Intent Guard</t>
  </si>
  <si>
    <t xml:space="preserve">A17</t>
  </si>
  <si>
    <t xml:space="preserve">UPI payout cost per reward</t>
  </si>
  <si>
    <t xml:space="preserve">Rs per payout</t>
  </si>
  <si>
    <t xml:space="preserve">A18</t>
  </si>
  <si>
    <t xml:space="preserve">AI inference cost per participating merchant</t>
  </si>
  <si>
    <t xml:space="preserve">Team estimate. Paytm runs fine-tuned small models in-house (S1).</t>
  </si>
  <si>
    <t xml:space="preserve">A19</t>
  </si>
  <si>
    <t xml:space="preserve">Extra inference per Growth plan merchant (autopilot, guard checks)</t>
  </si>
  <si>
    <t xml:space="preserve">A20</t>
  </si>
  <si>
    <t xml:space="preserve">Share of reward spend Intent Guard blocks (farming, collusion, overspend, injected deals)</t>
  </si>
  <si>
    <t xml:space="preserve">% of reward spend</t>
  </si>
  <si>
    <t xml:space="preserve">Team estimate. Shown as merchant money protected; not counted as Paytm revenue.</t>
  </si>
  <si>
    <t xml:space="preserve">Rollout coverage of eligible clusters (same in all scenarios)</t>
  </si>
  <si>
    <t xml:space="preserve">Quarter</t>
  </si>
  <si>
    <t xml:space="preserve">Q4 FY27</t>
  </si>
  <si>
    <t xml:space="preserve">Q1 FY28</t>
  </si>
  <si>
    <t xml:space="preserve">Q2 FY28</t>
  </si>
  <si>
    <t xml:space="preserve">Q3 FY28</t>
  </si>
  <si>
    <t xml:space="preserve">Q4 FY28</t>
  </si>
  <si>
    <t xml:space="preserve">Q1 FY29</t>
  </si>
  <si>
    <t xml:space="preserve">Q2 FY29</t>
  </si>
  <si>
    <t xml:space="preserve">Q3 FY29</t>
  </si>
  <si>
    <t xml:space="preserve">A21</t>
  </si>
  <si>
    <t xml:space="preserve">Share of eligible clusters live</t>
  </si>
  <si>
    <t xml:space="preserve">% of eligible</t>
  </si>
  <si>
    <t xml:space="preserve">Q4 FY27 is a Mumbai pilot; national rollout through FY28-FY29. Rollout pace is Paytm's choice, so it is held constant across scenarios.</t>
  </si>
  <si>
    <t xml:space="preserve">Structural rules built into the formulas</t>
  </si>
  <si>
    <t xml:space="preserve">R1</t>
  </si>
  <si>
    <t xml:space="preserve">One reward per UPI ID per partnership, so every redemption is a new customer for that shop.</t>
  </si>
  <si>
    <t xml:space="preserve">R2</t>
  </si>
  <si>
    <t xml:space="preserve">New regulars start repeat spending from the quarter after they are acquired.</t>
  </si>
  <si>
    <t xml:space="preserve">R3</t>
  </si>
  <si>
    <t xml:space="preserve">Merchants kept by lower churn keep their pre-Mohalla GMV (A8). They count as 'GMV protected', not in the per-merchant North Star.</t>
  </si>
  <si>
    <t xml:space="preserve">R4</t>
  </si>
  <si>
    <t xml:space="preserve">Baseline GMV and device merchants use FORECAST (linear) on 8 reported quarters, Q2 FY25 to Q1 FY27. GROWTH (exponential) is shown as a cross-check; the model uses the more conservative linear line.</t>
  </si>
  <si>
    <t xml:space="preserve">R5</t>
  </si>
  <si>
    <t xml:space="preserve">Rewards are merchant-funded and never counted as Paytm revenue. Payment margin applies to all incremental GMV at A15.</t>
  </si>
  <si>
    <t xml:space="preserve">R6</t>
  </si>
  <si>
    <t xml:space="preserve">Mohalla manual mode is free; merchants pay only the per-redemption fee. Intent Guard autopilot is the paid Growth plan.</t>
  </si>
  <si>
    <t xml:space="preserve">Baseline: Paytm merchant GMV and device merchants</t>
  </si>
  <si>
    <t xml:space="preserve">Rows 5-12 are reported actuals (blue). Rows 13-22 are FORECAST (linear) on those 8 quarters. Column G is GROWTH (exponential) as a cross-check. The bundle model uses the linear forecast.</t>
  </si>
  <si>
    <t xml:space="preserve">x (period)</t>
  </si>
  <si>
    <t xml:space="preserve">Months</t>
  </si>
  <si>
    <t xml:space="preserve">Type</t>
  </si>
  <si>
    <t xml:space="preserve">Merchant GMV (Rs lakh crore)</t>
  </si>
  <si>
    <t xml:space="preserve">GMV YoY</t>
  </si>
  <si>
    <t xml:space="preserve">Cross-check: GROWTH (Rs lakh crore)</t>
  </si>
  <si>
    <t xml:space="preserve">Device merchants (crore)</t>
  </si>
  <si>
    <t xml:space="preserve">Source / method</t>
  </si>
  <si>
    <t xml:space="preserve">Q2 FY25</t>
  </si>
  <si>
    <t xml:space="preserve">Jul-Sep 2024</t>
  </si>
  <si>
    <t xml:space="preserve">Actual</t>
  </si>
  <si>
    <t xml:space="preserve">GMV: S5 (Q3 FY25 GMV up 13% QoQ from Rs 4.5 lakh crore). Device merchants: derived, 1.17 crore at Dec-24 minus 5 lakh added that quarter (S5).</t>
  </si>
  <si>
    <t xml:space="preserve">Q3 FY25</t>
  </si>
  <si>
    <t xml:space="preserve">Oct-Dec 2024</t>
  </si>
  <si>
    <t xml:space="preserve">S5</t>
  </si>
  <si>
    <t xml:space="preserve">Q4 FY25</t>
  </si>
  <si>
    <t xml:space="preserve">Jan-Mar 2025</t>
  </si>
  <si>
    <t xml:space="preserve">S4</t>
  </si>
  <si>
    <t xml:space="preserve">Q1 FY26</t>
  </si>
  <si>
    <t xml:space="preserve">Apr-Jun 2025</t>
  </si>
  <si>
    <t xml:space="preserve">S1 (Jun-25 column of the Q1 FY27 release)</t>
  </si>
  <si>
    <t xml:space="preserve">Q2 FY26</t>
  </si>
  <si>
    <t xml:space="preserve">Jul-Sep 2025</t>
  </si>
  <si>
    <t xml:space="preserve">S2</t>
  </si>
  <si>
    <t xml:space="preserve">Q3 FY26</t>
  </si>
  <si>
    <t xml:space="preserve">Oct-Dec 2025</t>
  </si>
  <si>
    <t xml:space="preserve">GMV: S3. Device merchants: S6</t>
  </si>
  <si>
    <t xml:space="preserve">Q4 FY26</t>
  </si>
  <si>
    <t xml:space="preserve">Jan-Mar 2026</t>
  </si>
  <si>
    <t xml:space="preserve">S1 (Mar-26 column)</t>
  </si>
  <si>
    <t xml:space="preserve">Q1 FY27</t>
  </si>
  <si>
    <t xml:space="preserve">Apr-Jun 2026</t>
  </si>
  <si>
    <t xml:space="preserve">S1</t>
  </si>
  <si>
    <t xml:space="preserve">Q2 FY27</t>
  </si>
  <si>
    <t xml:space="preserve">Jul-Sep 2026</t>
  </si>
  <si>
    <t xml:space="preserve">Forecast</t>
  </si>
  <si>
    <t xml:space="preserve">FORECAST (linear) on rows 5-12. Not yet reported; bridges to the projection window.</t>
  </si>
  <si>
    <t xml:space="preserve">Q3 FY27</t>
  </si>
  <si>
    <t xml:space="preserve">Oct-Dec 2026</t>
  </si>
  <si>
    <t xml:space="preserve">FORECAST (linear) on rows 5-12. Not yet reported; bridges to the projection window. Rows 15-22 (shaded) are the 8-quarter projection window.</t>
  </si>
  <si>
    <t xml:space="preserve">Jan-Mar 2027</t>
  </si>
  <si>
    <t xml:space="preserve">FORECAST (linear) on rows 5-12</t>
  </si>
  <si>
    <t xml:space="preserve">Apr-Jun 2027</t>
  </si>
  <si>
    <t xml:space="preserve">Jul-Sep 2027</t>
  </si>
  <si>
    <t xml:space="preserve">Oct-Dec 2027</t>
  </si>
  <si>
    <t xml:space="preserve">Jan-Mar 2028</t>
  </si>
  <si>
    <t xml:space="preserve">Apr-Jun 2028</t>
  </si>
  <si>
    <t xml:space="preserve">Jul-Sep 2028</t>
  </si>
  <si>
    <t xml:space="preserve">Oct-Dec 2028</t>
  </si>
  <si>
    <t xml:space="preserve">Reported reference points (Q1 FY27, quarter ended 30 June 2026) and checks</t>
  </si>
  <si>
    <t xml:space="preserve">Net payment revenue, excluding PIDF</t>
  </si>
  <si>
    <t xml:space="preserve">Rs crore</t>
  </si>
  <si>
    <t xml:space="preserve">Net payment revenue per Rs of GMV</t>
  </si>
  <si>
    <t xml:space="preserve">bps</t>
  </si>
  <si>
    <t xml:space="preserve">Formula. Paytm reports 8.4 bps (S1).</t>
  </si>
  <si>
    <t xml:space="preserve">Payment processing margin (reported as 'comfortably above 4 bps')</t>
  </si>
  <si>
    <t xml:space="preserve">Net payment revenue from a 1% GMV lift</t>
  </si>
  <si>
    <t xml:space="preserve">Rs crore per quarter</t>
  </si>
  <si>
    <t xml:space="preserve">Formula: why raw GMV growth barely moves Paytm's P&amp;L.</t>
  </si>
  <si>
    <t xml:space="preserve">Marketing Services revenue</t>
  </si>
  <si>
    <t xml:space="preserve">S1 (down 3% YoY)</t>
  </si>
  <si>
    <t xml:space="preserve">Promotional cashback and incentives</t>
  </si>
  <si>
    <t xml:space="preserve">S1 (up 143% YoY)</t>
  </si>
  <si>
    <t xml:space="preserve">Registered merchants</t>
  </si>
  <si>
    <t xml:space="preserve">crore</t>
  </si>
  <si>
    <t xml:space="preserve">Ceiling: GMV per device merchant per month if all GMV came from device merchants</t>
  </si>
  <si>
    <t xml:space="preserve">Formula. Upper bound used to sanity-check A8.</t>
  </si>
  <si>
    <t xml:space="preserve">Q3 FY29 baseline: GROWTH cross-check vs FORECAST</t>
  </si>
  <si>
    <t xml:space="preserve">% above linear</t>
  </si>
  <si>
    <t xml:space="preserve">Formula. How conservative the linear baseline is.</t>
  </si>
  <si>
    <t xml:space="preserve">Model: Mohalla Network + Intent Guard, quarter by quarter</t>
  </si>
  <si>
    <t xml:space="preserve">Every cell is a formula. Assumption references: Bear = Assumptions column D, Base = E, Bull = F. Column L sums flows over the 8 quarters; stock and ratio rows are read at Q3 FY29 (column K).</t>
  </si>
  <si>
    <t xml:space="preserve">#</t>
  </si>
  <si>
    <t xml:space="preserve">8-qtr total</t>
  </si>
  <si>
    <t xml:space="preserve">Baseline period index (x)</t>
  </si>
  <si>
    <t xml:space="preserve">BEAR scenario (Assumptions column D)</t>
  </si>
  <si>
    <t xml:space="preserve">Device merchants, baseline</t>
  </si>
  <si>
    <t xml:space="preserve">lakh</t>
  </si>
  <si>
    <t xml:space="preserve">Eligible merchants (dense clusters)</t>
  </si>
  <si>
    <t xml:space="preserve">Rollout coverage</t>
  </si>
  <si>
    <t xml:space="preserve">Participating merchants</t>
  </si>
  <si>
    <t xml:space="preserve">New customers acquired (= redemptions)</t>
  </si>
  <si>
    <t xml:space="preserve">GMV: first visits</t>
  </si>
  <si>
    <t xml:space="preserve">New regulars</t>
  </si>
  <si>
    <t xml:space="preserve">Regulars at quarter end</t>
  </si>
  <si>
    <t xml:space="preserve">GMV: repeat visits by regulars</t>
  </si>
  <si>
    <t xml:space="preserve">GMV: share-of-counter shift to Paytm</t>
  </si>
  <si>
    <t xml:space="preserve">Merchants retained by lower churn (cumulative)</t>
  </si>
  <si>
    <t xml:space="preserve">GMV protected by retention</t>
  </si>
  <si>
    <t xml:space="preserve">Incremental GMV</t>
  </si>
  <si>
    <t xml:space="preserve">Rs lakh crore</t>
  </si>
  <si>
    <t xml:space="preserve">Baseline Paytm merchant GMV</t>
  </si>
  <si>
    <t xml:space="preserve">Paytm merchant GMV with bundle</t>
  </si>
  <si>
    <t xml:space="preserve">Uplift vs baseline GMV</t>
  </si>
  <si>
    <t xml:space="preserve">%</t>
  </si>
  <si>
    <t xml:space="preserve">North Star: Paytm GMV per participating merchant, without bundle</t>
  </si>
  <si>
    <t xml:space="preserve">Rs / quarter</t>
  </si>
  <si>
    <t xml:space="preserve">North Star: Paytm GMV per participating merchant, with bundle</t>
  </si>
  <si>
    <t xml:space="preserve">North Star uplift per participating merchant</t>
  </si>
  <si>
    <t xml:space="preserve">Paytm revenue: Mohalla fees</t>
  </si>
  <si>
    <t xml:space="preserve">Paytm revenue: Growth plan (Intent Guard)</t>
  </si>
  <si>
    <t xml:space="preserve">Paytm revenue: payment margin on incremental GMV</t>
  </si>
  <si>
    <t xml:space="preserve">Paytm revenue: device subscriptions retained</t>
  </si>
  <si>
    <t xml:space="preserve">Total Paytm revenue from the bundle</t>
  </si>
  <si>
    <t xml:space="preserve">Cost: reward payouts</t>
  </si>
  <si>
    <t xml:space="preserve">Cost: AI inference</t>
  </si>
  <si>
    <t xml:space="preserve">Total cost</t>
  </si>
  <si>
    <t xml:space="preserve">Contribution to Paytm</t>
  </si>
  <si>
    <t xml:space="preserve">Merchant reward spend (merchant-funded)</t>
  </si>
  <si>
    <t xml:space="preserve">Merchant reward spend protected by Intent Guard</t>
  </si>
  <si>
    <t xml:space="preserve">Mohalla fees vs Paytm's Q1 FY27 Marketing Services revenue</t>
  </si>
  <si>
    <t xml:space="preserve">Unit economics: Paytm contribution per participating merchant per month</t>
  </si>
  <si>
    <t xml:space="preserve">Break-even new customers per merchant per month</t>
  </si>
  <si>
    <t xml:space="preserve">Merchant cost per new customer (reward + fee)</t>
  </si>
  <si>
    <t xml:space="preserve">Rs</t>
  </si>
  <si>
    <t xml:space="preserve">Merchant cost per new customer as % of first bill</t>
  </si>
  <si>
    <t xml:space="preserve">BASE scenario (Assumptions column E)</t>
  </si>
  <si>
    <t xml:space="preserve">BULL scenario (Assumptions column F)</t>
  </si>
  <si>
    <t xml:space="preserve">Summary: numbers for the projection slide</t>
  </si>
  <si>
    <t xml:space="preserve">All cells link to the Model sheet.</t>
  </si>
  <si>
    <t xml:space="preserve">A. Base case, quarter by quarter</t>
  </si>
  <si>
    <t xml:space="preserve">Metric</t>
  </si>
  <si>
    <t xml:space="preserve">Baseline Paytm merchant GMV (FORECAST)</t>
  </si>
  <si>
    <t xml:space="preserve">Incremental GMV from the bundle</t>
  </si>
  <si>
    <t xml:space="preserve">  of which first visits</t>
  </si>
  <si>
    <t xml:space="preserve">  of which repeat visits</t>
  </si>
  <si>
    <t xml:space="preserve">  of which share-of-counter shift</t>
  </si>
  <si>
    <t xml:space="preserve">  of which GMV protected by retention</t>
  </si>
  <si>
    <t xml:space="preserve">Uplift vs baseline</t>
  </si>
  <si>
    <t xml:space="preserve">New customers acquired</t>
  </si>
  <si>
    <t xml:space="preserve">North Star without bundle (per participating merchant)</t>
  </si>
  <si>
    <t xml:space="preserve">North Star with bundle (per participating merchant)</t>
  </si>
  <si>
    <t xml:space="preserve">North Star uplift</t>
  </si>
  <si>
    <t xml:space="preserve">Paytm revenue from the bundle</t>
  </si>
  <si>
    <t xml:space="preserve">B. Scenarios side by side</t>
  </si>
  <si>
    <t xml:space="preserve">Participating merchants at Q3 FY29</t>
  </si>
  <si>
    <t xml:space="preserve">Incremental GMV in Q3 FY29</t>
  </si>
  <si>
    <t xml:space="preserve">Incremental GMV, 8 quarters cumulative</t>
  </si>
  <si>
    <t xml:space="preserve">Uplift vs baseline GMV at Q3 FY29</t>
  </si>
  <si>
    <t xml:space="preserve">North Star uplift per participating merchant at Q3 FY29</t>
  </si>
  <si>
    <t xml:space="preserve">New customers acquired, 8 quarters</t>
  </si>
  <si>
    <t xml:space="preserve">Paytm revenue in Q3 FY29</t>
  </si>
  <si>
    <t xml:space="preserve">Paytm revenue, 8 quarters cumulative</t>
  </si>
  <si>
    <t xml:space="preserve">Contribution to Paytm, 8 quarters cumulative</t>
  </si>
  <si>
    <t xml:space="preserve">Mohalla fees vs Q1 FY27 Marketing Services revenue, at Q3 FY29</t>
  </si>
  <si>
    <t xml:space="preserve">Merchant reward spend protected by Intent Guard, 8 quarters</t>
  </si>
  <si>
    <t xml:space="preserve">Unit economics: Paytm contribution per participating merchant</t>
  </si>
  <si>
    <t xml:space="preserve">Break-even new customers per merchant</t>
  </si>
  <si>
    <t xml:space="preserve">C. Baseline context</t>
  </si>
  <si>
    <t xml:space="preserve">Baseline GMV, Q1 FY27 actual</t>
  </si>
  <si>
    <t xml:space="preserve">Baseline GMV, Q3 FY29 FORECAST (linear)</t>
  </si>
  <si>
    <t xml:space="preserve">Baseline GMV, Q3 FY29 GROWTH cross-check</t>
  </si>
  <si>
    <t xml:space="preserve">Device merchants, Q3 FY29 FORECAST</t>
  </si>
  <si>
    <t xml:space="preserve">Net payment revenue from a 1% GMV lift (Q1 FY27 base)</t>
  </si>
  <si>
    <t xml:space="preserve">Rs crore / quarter</t>
  </si>
  <si>
    <t xml:space="preserve">Sources</t>
  </si>
  <si>
    <t xml:space="preserve">What it supports</t>
  </si>
  <si>
    <t xml:space="preserve">Link</t>
  </si>
  <si>
    <t xml:space="preserve">Paytm Q1 FY27 earnings release (agent datapack): GMV Jun-25 / Mar-26 / Jun-26, subscription merchants, net payment revenue 8.4 bps, processing margin &gt;4 bps, Marketing Services Rs 239 crore, cashback Rs 90 crore, registered merchants, in-house fine-tuned models</t>
  </si>
  <si>
    <t xml:space="preserve">https://paytm.com/document/ir/financial-results/fy2026-27/Paytm_Q1_FY27_Agent_Datapack.md</t>
  </si>
  <si>
    <t xml:space="preserve">Q2 FY26 (Sep-25): GMV Rs 5.67 lakh crore, subscriptions 1.37 crore</t>
  </si>
  <si>
    <t xml:space="preserve">https://ianslive.in/paytms-profitability-improves-to-rs-211-crore-in-q2-revenue-up-24-pc--20251104222037</t>
  </si>
  <si>
    <t xml:space="preserve">S3</t>
  </si>
  <si>
    <t xml:space="preserve">Q3 FY26 (Dec-25): GMV Rs 6.2 lakh crore</t>
  </si>
  <si>
    <t xml:space="preserve">https://www.businesstoday.in/amp/latest/corporate/story/paytms-q3-net-profit-jumps-to-rs225-crore-on-upi-surge-and-merchant-services-boost-513573-2026-01-29</t>
  </si>
  <si>
    <t xml:space="preserve">Q4 FY25 (Mar-25): GMV Rs 5.1 lakh crore, subscriptions 1.24 crore</t>
  </si>
  <si>
    <t xml:space="preserve">https://www.business-standard.com/companies/quarterly-results/one-97-communication-paytm-q4-fy25-result-loss-profit-revenue-stock-option-125050601030_1.html</t>
  </si>
  <si>
    <t xml:space="preserve">Q3 FY25 (Dec-24): GMV Rs 5.0 lakh crore, up 13% QoQ from Rs 4.5 lakh crore; subscriptions 1.17 crore after 5 lakh QoQ additions</t>
  </si>
  <si>
    <t xml:space="preserve">https://inc42.com/?p=495669</t>
  </si>
  <si>
    <t xml:space="preserve">S6</t>
  </si>
  <si>
    <t xml:space="preserve">Q3 FY26 (Dec-25): subscription merchants 1.44 crore</t>
  </si>
  <si>
    <t xml:space="preserve">https://alphastreet.com/india/symbol/PAYTM</t>
  </si>
  <si>
    <t xml:space="preserve">S7</t>
  </si>
  <si>
    <t xml:space="preserve">Soundbox rental Rs 125-150 a month (BofA merchant checks in Mumbai)</t>
  </si>
  <si>
    <t xml:space="preserve">https://www.outlookbusiness.com/amp/story/enterprise/bofa-research-paytm-soundbox-first-to-bring-audio-based-payments-confirmations-dominates-the-market-6795</t>
  </si>
  <si>
    <t xml:space="preserve">S8</t>
  </si>
  <si>
    <t xml:space="preserve">Paytm subscription revenue ~Rs 90 per device a month (Q4 FY24)</t>
  </si>
  <si>
    <t xml:space="preserve">https://www.medianama.com/2024/10/223-paytm-to-monetize-soundbox-ads-in-partnership-with-meesho-a-shift-away-from-core-payments-business/</t>
  </si>
  <si>
    <t xml:space="preserve">S9</t>
  </si>
  <si>
    <t xml:space="preserve">Merchants often keep separate soundboxes for PhonePe, Paytm and Google Pay</t>
  </si>
  <si>
    <t xml:space="preserve">https://inc42.com/buzz/upi-transactions-jump-3-8-mom-in-may-cross-23-bn-mark/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</si>
</sst>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;\-0.0%;\-"/>
    <numFmt numFmtId="166" formatCode="#,##0;\(#,##0\);\-"/>
    <numFmt numFmtId="167" formatCode="0.000%;\-0.000%;\-"/>
    <numFmt numFmtId="168" formatCode="#,##0.0;\(#,##0.0\);\-"/>
    <numFmt numFmtId="169" formatCode="#,##0.00;\(#,##0.00\);\-"/>
    <numFmt numFmtId="170" formatCode="0.0"/>
    <numFmt numFmtId="171" formatCode="General"/>
    <numFmt numFmtId="172" formatCode="#,##0.000;\(#,##0.000\);\-"/>
    <numFmt numFmtId="173" formatCode="0.00%;\-0.00%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E6E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2E6E"/>
      <name val="Arial"/>
      <family val="0"/>
      <charset val="1"/>
    </font>
    <font>
      <b val="true"/>
      <sz val="13"/>
      <color rgb="FF002E6E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2E6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2E6E"/>
        <bgColor rgb="FF333399"/>
      </patternFill>
    </fill>
    <fill>
      <patternFill patternType="solid">
        <fgColor rgb="FFDDEBF7"/>
        <bgColor rgb="FFE8F4FB"/>
      </patternFill>
    </fill>
    <fill>
      <patternFill patternType="solid">
        <fgColor rgb="FFFFFF00"/>
        <bgColor rgb="FFFFFF00"/>
      </patternFill>
    </fill>
    <fill>
      <patternFill patternType="solid">
        <fgColor rgb="FFE8F4FB"/>
        <bgColor rgb="FFDDEBF7"/>
      </patternFill>
    </fill>
    <fill>
      <patternFill patternType="solid">
        <fgColor rgb="FF00BAF2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F4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AF2"/>
      <rgbColor rgb="FFDD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E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23.85" hidden="false" customHeight="false" outlineLevel="0" collapsed="false">
      <c r="B6" s="3" t="s">
        <v>3</v>
      </c>
    </row>
    <row r="7" customFormat="false" ht="23.8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3" t="s">
        <v>11</v>
      </c>
    </row>
    <row r="17" customFormat="false" ht="23.8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3"/>
    </row>
    <row r="27" customFormat="false" ht="23.85" hidden="false" customHeight="false" outlineLevel="0" collapsed="false">
      <c r="B27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11" min="4" style="0" width="11"/>
    <col collapsed="false" customWidth="true" hidden="false" outlineLevel="0" max="12" min="12" style="0" width="70"/>
  </cols>
  <sheetData>
    <row r="1" customFormat="false" ht="16.15" hidden="false" customHeight="false" outlineLevel="0" collapsed="false">
      <c r="A1" s="5" t="s">
        <v>21</v>
      </c>
    </row>
    <row r="2" customFormat="false" ht="15" hidden="false" customHeight="false" outlineLevel="0" collapsed="false">
      <c r="A2" s="6" t="s">
        <v>22</v>
      </c>
    </row>
    <row r="4" customFormat="false" ht="15" hidden="false" customHeight="false" outlineLevel="0" collapsed="false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L4" s="8" t="s">
        <v>29</v>
      </c>
    </row>
    <row r="5" customFormat="false" ht="15" hidden="false" customHeight="false" outlineLevel="0" collapsed="false">
      <c r="A5" s="9" t="s">
        <v>30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customFormat="false" ht="23.85" hidden="false" customHeight="false" outlineLevel="0" collapsed="false">
      <c r="A6" s="11" t="s">
        <v>31</v>
      </c>
      <c r="B6" s="3" t="s">
        <v>32</v>
      </c>
      <c r="C6" s="2" t="s">
        <v>33</v>
      </c>
      <c r="D6" s="12" t="n">
        <v>0.2</v>
      </c>
      <c r="E6" s="12" t="n">
        <v>0.3</v>
      </c>
      <c r="F6" s="12" t="n">
        <v>0.4</v>
      </c>
      <c r="L6" s="2" t="s">
        <v>34</v>
      </c>
    </row>
    <row r="7" customFormat="false" ht="23.85" hidden="false" customHeight="false" outlineLevel="0" collapsed="false">
      <c r="A7" s="11" t="s">
        <v>35</v>
      </c>
      <c r="B7" s="3" t="s">
        <v>36</v>
      </c>
      <c r="C7" s="2" t="s">
        <v>37</v>
      </c>
      <c r="D7" s="12" t="n">
        <v>0.08</v>
      </c>
      <c r="E7" s="12" t="n">
        <v>0.15</v>
      </c>
      <c r="F7" s="12" t="n">
        <v>0.25</v>
      </c>
      <c r="L7" s="2" t="s">
        <v>38</v>
      </c>
    </row>
    <row r="8" customFormat="false" ht="15" hidden="false" customHeight="false" outlineLevel="0" collapsed="false">
      <c r="A8" s="9" t="s">
        <v>39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customFormat="false" ht="23.85" hidden="false" customHeight="false" outlineLevel="0" collapsed="false">
      <c r="A9" s="11" t="s">
        <v>40</v>
      </c>
      <c r="B9" s="3" t="s">
        <v>41</v>
      </c>
      <c r="C9" s="2" t="s">
        <v>42</v>
      </c>
      <c r="D9" s="13" t="n">
        <v>5</v>
      </c>
      <c r="E9" s="13" t="n">
        <v>10</v>
      </c>
      <c r="F9" s="13" t="n">
        <v>15</v>
      </c>
      <c r="L9" s="2" t="s">
        <v>43</v>
      </c>
    </row>
    <row r="10" customFormat="false" ht="23.85" hidden="false" customHeight="false" outlineLevel="0" collapsed="false">
      <c r="A10" s="11" t="s">
        <v>44</v>
      </c>
      <c r="B10" s="3" t="s">
        <v>45</v>
      </c>
      <c r="C10" s="2" t="s">
        <v>46</v>
      </c>
      <c r="D10" s="13" t="n">
        <v>250</v>
      </c>
      <c r="E10" s="13" t="n">
        <v>300</v>
      </c>
      <c r="F10" s="13" t="n">
        <v>350</v>
      </c>
      <c r="L10" s="2" t="s">
        <v>47</v>
      </c>
    </row>
    <row r="11" customFormat="false" ht="23.85" hidden="false" customHeight="false" outlineLevel="0" collapsed="false">
      <c r="A11" s="11" t="s">
        <v>48</v>
      </c>
      <c r="B11" s="3" t="s">
        <v>49</v>
      </c>
      <c r="C11" s="2" t="s">
        <v>50</v>
      </c>
      <c r="D11" s="12" t="n">
        <v>0.1</v>
      </c>
      <c r="E11" s="12" t="n">
        <v>0.2</v>
      </c>
      <c r="F11" s="12" t="n">
        <v>0.3</v>
      </c>
      <c r="L11" s="2" t="s">
        <v>51</v>
      </c>
    </row>
    <row r="12" customFormat="false" ht="15" hidden="false" customHeight="false" outlineLevel="0" collapsed="false">
      <c r="A12" s="11" t="s">
        <v>52</v>
      </c>
      <c r="B12" s="3" t="s">
        <v>53</v>
      </c>
      <c r="C12" s="2" t="s">
        <v>54</v>
      </c>
      <c r="D12" s="12" t="n">
        <v>0.4</v>
      </c>
      <c r="E12" s="12" t="n">
        <v>0.3</v>
      </c>
      <c r="F12" s="12" t="n">
        <v>0.2</v>
      </c>
      <c r="L12" s="2" t="s">
        <v>51</v>
      </c>
    </row>
    <row r="13" customFormat="false" ht="15" hidden="false" customHeight="false" outlineLevel="0" collapsed="false">
      <c r="A13" s="11" t="s">
        <v>55</v>
      </c>
      <c r="B13" s="3" t="s">
        <v>56</v>
      </c>
      <c r="C13" s="2" t="s">
        <v>57</v>
      </c>
      <c r="D13" s="13" t="n">
        <v>450</v>
      </c>
      <c r="E13" s="13" t="n">
        <v>600</v>
      </c>
      <c r="F13" s="13" t="n">
        <v>750</v>
      </c>
      <c r="L13" s="2" t="s">
        <v>58</v>
      </c>
    </row>
    <row r="14" customFormat="false" ht="15" hidden="false" customHeight="false" outlineLevel="0" collapsed="false">
      <c r="A14" s="9" t="s">
        <v>59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35.05" hidden="false" customHeight="false" outlineLevel="0" collapsed="false">
      <c r="A15" s="11" t="s">
        <v>60</v>
      </c>
      <c r="B15" s="3" t="s">
        <v>61</v>
      </c>
      <c r="C15" s="2" t="s">
        <v>62</v>
      </c>
      <c r="D15" s="13" t="n">
        <v>50000</v>
      </c>
      <c r="E15" s="13" t="n">
        <v>80000</v>
      </c>
      <c r="F15" s="13" t="n">
        <v>120000</v>
      </c>
      <c r="L15" s="2" t="s">
        <v>63</v>
      </c>
    </row>
    <row r="16" customFormat="false" ht="35.05" hidden="false" customHeight="false" outlineLevel="0" collapsed="false">
      <c r="A16" s="11" t="s">
        <v>64</v>
      </c>
      <c r="B16" s="3" t="s">
        <v>65</v>
      </c>
      <c r="C16" s="2" t="s">
        <v>66</v>
      </c>
      <c r="D16" s="12" t="n">
        <v>0.01</v>
      </c>
      <c r="E16" s="12" t="n">
        <v>0.03</v>
      </c>
      <c r="F16" s="12" t="n">
        <v>0.05</v>
      </c>
      <c r="L16" s="2" t="s">
        <v>67</v>
      </c>
    </row>
    <row r="17" customFormat="false" ht="23.85" hidden="false" customHeight="false" outlineLevel="0" collapsed="false">
      <c r="A17" s="11" t="s">
        <v>68</v>
      </c>
      <c r="B17" s="3" t="s">
        <v>69</v>
      </c>
      <c r="C17" s="2" t="s">
        <v>70</v>
      </c>
      <c r="D17" s="12" t="n">
        <v>0.01</v>
      </c>
      <c r="E17" s="12" t="n">
        <v>0.02</v>
      </c>
      <c r="F17" s="12" t="n">
        <v>0.04</v>
      </c>
      <c r="L17" s="2" t="s">
        <v>71</v>
      </c>
    </row>
    <row r="18" customFormat="false" ht="15" hidden="false" customHeight="false" outlineLevel="0" collapsed="false">
      <c r="A18" s="9" t="s">
        <v>72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customFormat="false" ht="15" hidden="false" customHeight="false" outlineLevel="0" collapsed="false">
      <c r="A19" s="11" t="s">
        <v>73</v>
      </c>
      <c r="B19" s="3" t="s">
        <v>74</v>
      </c>
      <c r="C19" s="2" t="s">
        <v>75</v>
      </c>
      <c r="D19" s="13" t="n">
        <v>25</v>
      </c>
      <c r="E19" s="13" t="n">
        <v>30</v>
      </c>
      <c r="F19" s="13" t="n">
        <v>40</v>
      </c>
      <c r="L19" s="2" t="s">
        <v>76</v>
      </c>
    </row>
    <row r="20" customFormat="false" ht="23.85" hidden="false" customHeight="false" outlineLevel="0" collapsed="false">
      <c r="A20" s="11" t="s">
        <v>77</v>
      </c>
      <c r="B20" s="3" t="s">
        <v>78</v>
      </c>
      <c r="C20" s="2" t="s">
        <v>75</v>
      </c>
      <c r="D20" s="13" t="n">
        <v>3</v>
      </c>
      <c r="E20" s="13" t="n">
        <v>4</v>
      </c>
      <c r="F20" s="13" t="n">
        <v>5</v>
      </c>
      <c r="L20" s="2" t="s">
        <v>79</v>
      </c>
    </row>
    <row r="21" customFormat="false" ht="23.85" hidden="false" customHeight="false" outlineLevel="0" collapsed="false">
      <c r="A21" s="11" t="s">
        <v>80</v>
      </c>
      <c r="B21" s="3" t="s">
        <v>81</v>
      </c>
      <c r="C21" s="2" t="s">
        <v>62</v>
      </c>
      <c r="D21" s="13" t="n">
        <v>29</v>
      </c>
      <c r="E21" s="13" t="n">
        <v>49</v>
      </c>
      <c r="F21" s="13" t="n">
        <v>79</v>
      </c>
      <c r="L21" s="2" t="s">
        <v>82</v>
      </c>
    </row>
    <row r="22" customFormat="false" ht="23.85" hidden="false" customHeight="false" outlineLevel="0" collapsed="false">
      <c r="A22" s="11" t="s">
        <v>83</v>
      </c>
      <c r="B22" s="3" t="s">
        <v>84</v>
      </c>
      <c r="C22" s="2" t="s">
        <v>85</v>
      </c>
      <c r="D22" s="12" t="n">
        <v>0.05</v>
      </c>
      <c r="E22" s="12" t="n">
        <v>0.1</v>
      </c>
      <c r="F22" s="12" t="n">
        <v>0.2</v>
      </c>
      <c r="L22" s="2" t="s">
        <v>51</v>
      </c>
    </row>
    <row r="23" customFormat="false" ht="23.85" hidden="false" customHeight="false" outlineLevel="0" collapsed="false">
      <c r="A23" s="11" t="s">
        <v>86</v>
      </c>
      <c r="B23" s="3" t="s">
        <v>87</v>
      </c>
      <c r="C23" s="2" t="s">
        <v>88</v>
      </c>
      <c r="D23" s="14" t="n">
        <v>0.0004</v>
      </c>
      <c r="E23" s="14" t="n">
        <v>0.0004</v>
      </c>
      <c r="F23" s="14" t="n">
        <v>0.0004</v>
      </c>
      <c r="L23" s="2" t="s">
        <v>89</v>
      </c>
    </row>
    <row r="24" customFormat="false" ht="23.85" hidden="false" customHeight="false" outlineLevel="0" collapsed="false">
      <c r="A24" s="11" t="s">
        <v>90</v>
      </c>
      <c r="B24" s="3" t="s">
        <v>91</v>
      </c>
      <c r="C24" s="2" t="s">
        <v>62</v>
      </c>
      <c r="D24" s="13" t="n">
        <v>80</v>
      </c>
      <c r="E24" s="13" t="n">
        <v>90</v>
      </c>
      <c r="F24" s="13" t="n">
        <v>100</v>
      </c>
      <c r="L24" s="2" t="s">
        <v>92</v>
      </c>
    </row>
    <row r="25" customFormat="false" ht="15" hidden="false" customHeight="false" outlineLevel="0" collapsed="false">
      <c r="A25" s="9" t="s">
        <v>93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customFormat="false" ht="15" hidden="false" customHeight="false" outlineLevel="0" collapsed="false">
      <c r="A26" s="11" t="s">
        <v>94</v>
      </c>
      <c r="B26" s="3" t="s">
        <v>95</v>
      </c>
      <c r="C26" s="2" t="s">
        <v>96</v>
      </c>
      <c r="D26" s="15" t="n">
        <v>2</v>
      </c>
      <c r="E26" s="15" t="n">
        <v>1</v>
      </c>
      <c r="F26" s="15" t="n">
        <v>0.5</v>
      </c>
      <c r="L26" s="2" t="s">
        <v>51</v>
      </c>
    </row>
    <row r="27" customFormat="false" ht="15" hidden="false" customHeight="false" outlineLevel="0" collapsed="false">
      <c r="A27" s="11" t="s">
        <v>97</v>
      </c>
      <c r="B27" s="3" t="s">
        <v>98</v>
      </c>
      <c r="C27" s="2" t="s">
        <v>62</v>
      </c>
      <c r="D27" s="13" t="n">
        <v>15</v>
      </c>
      <c r="E27" s="13" t="n">
        <v>8</v>
      </c>
      <c r="F27" s="13" t="n">
        <v>5</v>
      </c>
      <c r="L27" s="2" t="s">
        <v>99</v>
      </c>
    </row>
    <row r="28" customFormat="false" ht="23.85" hidden="false" customHeight="false" outlineLevel="0" collapsed="false">
      <c r="A28" s="11" t="s">
        <v>100</v>
      </c>
      <c r="B28" s="3" t="s">
        <v>101</v>
      </c>
      <c r="C28" s="2" t="s">
        <v>62</v>
      </c>
      <c r="D28" s="13" t="n">
        <v>25</v>
      </c>
      <c r="E28" s="13" t="n">
        <v>15</v>
      </c>
      <c r="F28" s="13" t="n">
        <v>10</v>
      </c>
      <c r="L28" s="2" t="s">
        <v>51</v>
      </c>
    </row>
    <row r="29" customFormat="false" ht="23.85" hidden="false" customHeight="false" outlineLevel="0" collapsed="false">
      <c r="A29" s="11" t="s">
        <v>102</v>
      </c>
      <c r="B29" s="3" t="s">
        <v>103</v>
      </c>
      <c r="C29" s="2" t="s">
        <v>104</v>
      </c>
      <c r="D29" s="12" t="n">
        <v>0.02</v>
      </c>
      <c r="E29" s="12" t="n">
        <v>0.05</v>
      </c>
      <c r="F29" s="12" t="n">
        <v>0.08</v>
      </c>
      <c r="L29" s="2" t="s">
        <v>105</v>
      </c>
    </row>
    <row r="31" customFormat="false" ht="15" hidden="false" customHeight="false" outlineLevel="0" collapsed="false">
      <c r="A31" s="9" t="s">
        <v>106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customFormat="false" ht="15" hidden="false" customHeight="false" outlineLevel="0" collapsed="false">
      <c r="B32" s="16" t="s">
        <v>107</v>
      </c>
      <c r="D32" s="17" t="s">
        <v>108</v>
      </c>
      <c r="E32" s="17" t="s">
        <v>109</v>
      </c>
      <c r="F32" s="17" t="s">
        <v>110</v>
      </c>
      <c r="G32" s="17" t="s">
        <v>111</v>
      </c>
      <c r="H32" s="17" t="s">
        <v>112</v>
      </c>
      <c r="I32" s="17" t="s">
        <v>113</v>
      </c>
      <c r="J32" s="17" t="s">
        <v>114</v>
      </c>
      <c r="K32" s="17" t="s">
        <v>115</v>
      </c>
    </row>
    <row r="33" customFormat="false" ht="23.85" hidden="false" customHeight="false" outlineLevel="0" collapsed="false">
      <c r="A33" s="11" t="s">
        <v>116</v>
      </c>
      <c r="B33" s="3" t="s">
        <v>117</v>
      </c>
      <c r="C33" s="11" t="s">
        <v>118</v>
      </c>
      <c r="D33" s="12" t="n">
        <v>0.02</v>
      </c>
      <c r="E33" s="12" t="n">
        <v>0.08</v>
      </c>
      <c r="F33" s="12" t="n">
        <v>0.2</v>
      </c>
      <c r="G33" s="12" t="n">
        <v>0.35</v>
      </c>
      <c r="H33" s="12" t="n">
        <v>0.5</v>
      </c>
      <c r="I33" s="12" t="n">
        <v>0.65</v>
      </c>
      <c r="J33" s="12" t="n">
        <v>0.8</v>
      </c>
      <c r="K33" s="12" t="n">
        <v>0.9</v>
      </c>
      <c r="L33" s="2" t="s">
        <v>119</v>
      </c>
    </row>
    <row r="35" customFormat="false" ht="15" hidden="false" customHeight="false" outlineLevel="0" collapsed="false">
      <c r="A35" s="9" t="s">
        <v>120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customFormat="false" ht="27.75" hidden="false" customHeight="true" outlineLevel="0" collapsed="false">
      <c r="A36" s="11" t="s">
        <v>121</v>
      </c>
      <c r="B36" s="18" t="s">
        <v>122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customFormat="false" ht="27.75" hidden="false" customHeight="true" outlineLevel="0" collapsed="false">
      <c r="A37" s="11" t="s">
        <v>123</v>
      </c>
      <c r="B37" s="18" t="s">
        <v>124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customFormat="false" ht="27.75" hidden="false" customHeight="true" outlineLevel="0" collapsed="false">
      <c r="A38" s="11" t="s">
        <v>125</v>
      </c>
      <c r="B38" s="18" t="s">
        <v>126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customFormat="false" ht="27.75" hidden="false" customHeight="true" outlineLevel="0" collapsed="false">
      <c r="A39" s="11" t="s">
        <v>127</v>
      </c>
      <c r="B39" s="18" t="s">
        <v>128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customFormat="false" ht="27.75" hidden="false" customHeight="true" outlineLevel="0" collapsed="false">
      <c r="A40" s="11" t="s">
        <v>129</v>
      </c>
      <c r="B40" s="18" t="s">
        <v>130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customFormat="false" ht="27.75" hidden="false" customHeight="true" outlineLevel="0" collapsed="false">
      <c r="A41" s="11" t="s">
        <v>131</v>
      </c>
      <c r="B41" s="18" t="s">
        <v>132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</row>
  </sheetData>
  <mergeCells count="6">
    <mergeCell ref="B36:L36"/>
    <mergeCell ref="B37:L37"/>
    <mergeCell ref="B38:L38"/>
    <mergeCell ref="B39:L39"/>
    <mergeCell ref="B40:L40"/>
    <mergeCell ref="B41:L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80"/>
  </cols>
  <sheetData>
    <row r="1" customFormat="false" ht="16.15" hidden="false" customHeight="false" outlineLevel="0" collapsed="false">
      <c r="A1" s="5" t="s">
        <v>133</v>
      </c>
    </row>
    <row r="2" customFormat="false" ht="15" hidden="false" customHeight="false" outlineLevel="0" collapsed="false">
      <c r="A2" s="6" t="s">
        <v>134</v>
      </c>
    </row>
    <row r="4" customFormat="false" ht="35.05" hidden="false" customHeight="false" outlineLevel="0" collapsed="false">
      <c r="A4" s="7" t="s">
        <v>135</v>
      </c>
      <c r="B4" s="7" t="s">
        <v>107</v>
      </c>
      <c r="C4" s="7" t="s">
        <v>136</v>
      </c>
      <c r="D4" s="7" t="s">
        <v>137</v>
      </c>
      <c r="E4" s="7" t="s">
        <v>138</v>
      </c>
      <c r="F4" s="7" t="s">
        <v>139</v>
      </c>
      <c r="G4" s="7" t="s">
        <v>140</v>
      </c>
      <c r="H4" s="7" t="s">
        <v>141</v>
      </c>
      <c r="I4" s="7" t="s">
        <v>142</v>
      </c>
    </row>
    <row r="5" customFormat="false" ht="23.85" hidden="false" customHeight="false" outlineLevel="0" collapsed="false">
      <c r="A5" s="19" t="n">
        <v>1</v>
      </c>
      <c r="B5" s="20" t="s">
        <v>143</v>
      </c>
      <c r="C5" s="11" t="s">
        <v>144</v>
      </c>
      <c r="D5" s="11" t="s">
        <v>145</v>
      </c>
      <c r="E5" s="21" t="n">
        <v>4.5</v>
      </c>
      <c r="H5" s="21" t="n">
        <v>1.12</v>
      </c>
      <c r="I5" s="2" t="s">
        <v>146</v>
      </c>
    </row>
    <row r="6" customFormat="false" ht="15" hidden="false" customHeight="false" outlineLevel="0" collapsed="false">
      <c r="A6" s="19" t="n">
        <v>2</v>
      </c>
      <c r="B6" s="20" t="s">
        <v>147</v>
      </c>
      <c r="C6" s="11" t="s">
        <v>148</v>
      </c>
      <c r="D6" s="11" t="s">
        <v>145</v>
      </c>
      <c r="E6" s="21" t="n">
        <v>5</v>
      </c>
      <c r="H6" s="21" t="n">
        <v>1.17</v>
      </c>
      <c r="I6" s="2" t="s">
        <v>149</v>
      </c>
    </row>
    <row r="7" customFormat="false" ht="15" hidden="false" customHeight="false" outlineLevel="0" collapsed="false">
      <c r="A7" s="19" t="n">
        <v>3</v>
      </c>
      <c r="B7" s="20" t="s">
        <v>150</v>
      </c>
      <c r="C7" s="11" t="s">
        <v>151</v>
      </c>
      <c r="D7" s="11" t="s">
        <v>145</v>
      </c>
      <c r="E7" s="21" t="n">
        <v>5.1</v>
      </c>
      <c r="H7" s="21" t="n">
        <v>1.24</v>
      </c>
      <c r="I7" s="2" t="s">
        <v>152</v>
      </c>
    </row>
    <row r="8" customFormat="false" ht="15" hidden="false" customHeight="false" outlineLevel="0" collapsed="false">
      <c r="A8" s="19" t="n">
        <v>4</v>
      </c>
      <c r="B8" s="20" t="s">
        <v>153</v>
      </c>
      <c r="C8" s="11" t="s">
        <v>154</v>
      </c>
      <c r="D8" s="11" t="s">
        <v>145</v>
      </c>
      <c r="E8" s="21" t="n">
        <v>5.4</v>
      </c>
      <c r="H8" s="21" t="n">
        <v>1.3</v>
      </c>
      <c r="I8" s="2" t="s">
        <v>155</v>
      </c>
    </row>
    <row r="9" customFormat="false" ht="15" hidden="false" customHeight="false" outlineLevel="0" collapsed="false">
      <c r="A9" s="19" t="n">
        <v>5</v>
      </c>
      <c r="B9" s="20" t="s">
        <v>156</v>
      </c>
      <c r="C9" s="11" t="s">
        <v>157</v>
      </c>
      <c r="D9" s="11" t="s">
        <v>145</v>
      </c>
      <c r="E9" s="21" t="n">
        <v>5.67</v>
      </c>
      <c r="F9" s="22" t="n">
        <f aca="false">E9/E5-1</f>
        <v>0.26</v>
      </c>
      <c r="H9" s="21" t="n">
        <v>1.37</v>
      </c>
      <c r="I9" s="2" t="s">
        <v>158</v>
      </c>
    </row>
    <row r="10" customFormat="false" ht="15" hidden="false" customHeight="false" outlineLevel="0" collapsed="false">
      <c r="A10" s="19" t="n">
        <v>6</v>
      </c>
      <c r="B10" s="20" t="s">
        <v>159</v>
      </c>
      <c r="C10" s="11" t="s">
        <v>160</v>
      </c>
      <c r="D10" s="11" t="s">
        <v>145</v>
      </c>
      <c r="E10" s="21" t="n">
        <v>6.2</v>
      </c>
      <c r="F10" s="22" t="n">
        <f aca="false">E10/E6-1</f>
        <v>0.24</v>
      </c>
      <c r="H10" s="21" t="n">
        <v>1.44</v>
      </c>
      <c r="I10" s="2" t="s">
        <v>161</v>
      </c>
    </row>
    <row r="11" customFormat="false" ht="15" hidden="false" customHeight="false" outlineLevel="0" collapsed="false">
      <c r="A11" s="19" t="n">
        <v>7</v>
      </c>
      <c r="B11" s="20" t="s">
        <v>162</v>
      </c>
      <c r="C11" s="11" t="s">
        <v>163</v>
      </c>
      <c r="D11" s="11" t="s">
        <v>145</v>
      </c>
      <c r="E11" s="21" t="n">
        <v>6.5</v>
      </c>
      <c r="F11" s="22" t="n">
        <f aca="false">E11/E7-1</f>
        <v>0.274509803921569</v>
      </c>
      <c r="H11" s="21" t="n">
        <v>1.51</v>
      </c>
      <c r="I11" s="2" t="s">
        <v>164</v>
      </c>
    </row>
    <row r="12" customFormat="false" ht="15" hidden="false" customHeight="false" outlineLevel="0" collapsed="false">
      <c r="A12" s="19" t="n">
        <v>8</v>
      </c>
      <c r="B12" s="20" t="s">
        <v>165</v>
      </c>
      <c r="C12" s="11" t="s">
        <v>166</v>
      </c>
      <c r="D12" s="11" t="s">
        <v>145</v>
      </c>
      <c r="E12" s="21" t="n">
        <v>7.1</v>
      </c>
      <c r="F12" s="22" t="n">
        <f aca="false">E12/E8-1</f>
        <v>0.314814814814815</v>
      </c>
      <c r="H12" s="21" t="n">
        <v>1.57</v>
      </c>
      <c r="I12" s="2" t="s">
        <v>167</v>
      </c>
    </row>
    <row r="13" customFormat="false" ht="15" hidden="false" customHeight="false" outlineLevel="0" collapsed="false">
      <c r="A13" s="19" t="n">
        <v>9</v>
      </c>
      <c r="B13" s="20" t="s">
        <v>168</v>
      </c>
      <c r="C13" s="11" t="s">
        <v>169</v>
      </c>
      <c r="D13" s="11" t="s">
        <v>170</v>
      </c>
      <c r="E13" s="23" t="n">
        <f aca="false">FORECAST(A13,$E$5:$E$12,$A$5:$A$12)</f>
        <v>7.25178571428571</v>
      </c>
      <c r="F13" s="22" t="n">
        <f aca="false">E13/E9-1</f>
        <v>0.278974552784077</v>
      </c>
      <c r="G13" s="23" t="n">
        <f aca="false">GROWTH($E$5:$E$12,$A$5:$A$12,A13)</f>
        <v>7.41039763320086</v>
      </c>
      <c r="H13" s="23" t="n">
        <f aca="false">FORECAST(A13,$H$5:$H$12,$A$5:$A$12)</f>
        <v>1.63571428571429</v>
      </c>
      <c r="I13" s="11" t="s">
        <v>171</v>
      </c>
    </row>
    <row r="14" customFormat="false" ht="15" hidden="false" customHeight="false" outlineLevel="0" collapsed="false">
      <c r="A14" s="19" t="n">
        <v>10</v>
      </c>
      <c r="B14" s="20" t="s">
        <v>172</v>
      </c>
      <c r="C14" s="11" t="s">
        <v>173</v>
      </c>
      <c r="D14" s="11" t="s">
        <v>170</v>
      </c>
      <c r="E14" s="23" t="n">
        <f aca="false">FORECAST(A14,$E$5:$E$12,$A$5:$A$12)</f>
        <v>7.6002380952381</v>
      </c>
      <c r="F14" s="22" t="n">
        <f aca="false">E14/E10-1</f>
        <v>0.225844854070661</v>
      </c>
      <c r="G14" s="23" t="n">
        <f aca="false">GROWTH($E$5:$E$12,$A$5:$A$12,A14)</f>
        <v>7.8778783042268</v>
      </c>
      <c r="H14" s="23" t="n">
        <f aca="false">FORECAST(A14,$H$5:$H$12,$A$5:$A$12)</f>
        <v>1.70142857142857</v>
      </c>
      <c r="I14" s="11" t="s">
        <v>174</v>
      </c>
    </row>
    <row r="15" customFormat="false" ht="15" hidden="false" customHeight="false" outlineLevel="0" collapsed="false">
      <c r="A15" s="24" t="n">
        <v>11</v>
      </c>
      <c r="B15" s="25" t="s">
        <v>108</v>
      </c>
      <c r="C15" s="26" t="s">
        <v>175</v>
      </c>
      <c r="D15" s="26" t="s">
        <v>170</v>
      </c>
      <c r="E15" s="27" t="n">
        <f aca="false">FORECAST(A15,$E$5:$E$12,$A$5:$A$12)</f>
        <v>7.94869047619048</v>
      </c>
      <c r="F15" s="28" t="n">
        <f aca="false">E15/E11-1</f>
        <v>0.222875457875458</v>
      </c>
      <c r="G15" s="27" t="n">
        <f aca="false">GROWTH($E$5:$E$12,$A$5:$A$12,A15)</f>
        <v>8.37484972441358</v>
      </c>
      <c r="H15" s="27" t="n">
        <f aca="false">FORECAST(A15,$H$5:$H$12,$A$5:$A$12)</f>
        <v>1.76714285714286</v>
      </c>
      <c r="I15" s="11" t="s">
        <v>176</v>
      </c>
    </row>
    <row r="16" customFormat="false" ht="15" hidden="false" customHeight="false" outlineLevel="0" collapsed="false">
      <c r="A16" s="24" t="n">
        <v>12</v>
      </c>
      <c r="B16" s="25" t="s">
        <v>109</v>
      </c>
      <c r="C16" s="26" t="s">
        <v>177</v>
      </c>
      <c r="D16" s="26" t="s">
        <v>170</v>
      </c>
      <c r="E16" s="27" t="n">
        <f aca="false">FORECAST(A16,$E$5:$E$12,$A$5:$A$12)</f>
        <v>8.29714285714286</v>
      </c>
      <c r="F16" s="28" t="n">
        <f aca="false">E16/E12-1</f>
        <v>0.168611670020121</v>
      </c>
      <c r="G16" s="27" t="n">
        <f aca="false">GROWTH($E$5:$E$12,$A$5:$A$12,A16)</f>
        <v>8.90317230070416</v>
      </c>
      <c r="H16" s="27" t="n">
        <f aca="false">FORECAST(A16,$H$5:$H$12,$A$5:$A$12)</f>
        <v>1.83285714285714</v>
      </c>
      <c r="I16" s="11" t="s">
        <v>176</v>
      </c>
    </row>
    <row r="17" customFormat="false" ht="15" hidden="false" customHeight="false" outlineLevel="0" collapsed="false">
      <c r="A17" s="24" t="n">
        <v>13</v>
      </c>
      <c r="B17" s="25" t="s">
        <v>110</v>
      </c>
      <c r="C17" s="26" t="s">
        <v>178</v>
      </c>
      <c r="D17" s="26" t="s">
        <v>170</v>
      </c>
      <c r="E17" s="27" t="n">
        <f aca="false">FORECAST(A17,$E$5:$E$12,$A$5:$A$12)</f>
        <v>8.64559523809524</v>
      </c>
      <c r="F17" s="28" t="n">
        <f aca="false">E17/E13-1</f>
        <v>0.192202249035541</v>
      </c>
      <c r="G17" s="27" t="n">
        <f aca="false">GROWTH($E$5:$E$12,$A$5:$A$12,A17)</f>
        <v>9.46482380274306</v>
      </c>
      <c r="H17" s="27" t="n">
        <f aca="false">FORECAST(A17,$H$5:$H$12,$A$5:$A$12)</f>
        <v>1.89857142857143</v>
      </c>
      <c r="I17" s="11" t="s">
        <v>176</v>
      </c>
    </row>
    <row r="18" customFormat="false" ht="15" hidden="false" customHeight="false" outlineLevel="0" collapsed="false">
      <c r="A18" s="24" t="n">
        <v>14</v>
      </c>
      <c r="B18" s="25" t="s">
        <v>111</v>
      </c>
      <c r="C18" s="26" t="s">
        <v>179</v>
      </c>
      <c r="D18" s="26" t="s">
        <v>170</v>
      </c>
      <c r="E18" s="27" t="n">
        <f aca="false">FORECAST(A18,$E$5:$E$12,$A$5:$A$12)</f>
        <v>8.99404761904762</v>
      </c>
      <c r="F18" s="28" t="n">
        <f aca="false">E18/E14-1</f>
        <v>0.18339024466652</v>
      </c>
      <c r="G18" s="27" t="n">
        <f aca="false">GROWTH($E$5:$E$12,$A$5:$A$12,A18)</f>
        <v>10.0619067666349</v>
      </c>
      <c r="H18" s="27" t="n">
        <f aca="false">FORECAST(A18,$H$5:$H$12,$A$5:$A$12)</f>
        <v>1.96428571428571</v>
      </c>
      <c r="I18" s="11" t="s">
        <v>176</v>
      </c>
    </row>
    <row r="19" customFormat="false" ht="15" hidden="false" customHeight="false" outlineLevel="0" collapsed="false">
      <c r="A19" s="24" t="n">
        <v>15</v>
      </c>
      <c r="B19" s="25" t="s">
        <v>112</v>
      </c>
      <c r="C19" s="26" t="s">
        <v>180</v>
      </c>
      <c r="D19" s="26" t="s">
        <v>170</v>
      </c>
      <c r="E19" s="27" t="n">
        <f aca="false">FORECAST(A19,$E$5:$E$12,$A$5:$A$12)</f>
        <v>9.3425</v>
      </c>
      <c r="F19" s="28" t="n">
        <f aca="false">E19/E15-1</f>
        <v>0.175350836466025</v>
      </c>
      <c r="G19" s="27" t="n">
        <f aca="false">GROWTH($E$5:$E$12,$A$5:$A$12,A19)</f>
        <v>10.6966563657647</v>
      </c>
      <c r="H19" s="27" t="n">
        <f aca="false">FORECAST(A19,$H$5:$H$12,$A$5:$A$12)</f>
        <v>2.03</v>
      </c>
      <c r="I19" s="11" t="s">
        <v>176</v>
      </c>
    </row>
    <row r="20" customFormat="false" ht="15" hidden="false" customHeight="false" outlineLevel="0" collapsed="false">
      <c r="A20" s="24" t="n">
        <v>16</v>
      </c>
      <c r="B20" s="25" t="s">
        <v>113</v>
      </c>
      <c r="C20" s="26" t="s">
        <v>181</v>
      </c>
      <c r="D20" s="26" t="s">
        <v>170</v>
      </c>
      <c r="E20" s="27" t="n">
        <f aca="false">FORECAST(A20,$E$5:$E$12,$A$5:$A$12)</f>
        <v>9.69095238095238</v>
      </c>
      <c r="F20" s="28" t="n">
        <f aca="false">E20/E16-1</f>
        <v>0.16798668503214</v>
      </c>
      <c r="G20" s="27" t="n">
        <f aca="false">GROWTH($E$5:$E$12,$A$5:$A$12,A20)</f>
        <v>11.3714487781446</v>
      </c>
      <c r="H20" s="27" t="n">
        <f aca="false">FORECAST(A20,$H$5:$H$12,$A$5:$A$12)</f>
        <v>2.09571428571429</v>
      </c>
      <c r="I20" s="11" t="s">
        <v>176</v>
      </c>
    </row>
    <row r="21" customFormat="false" ht="15" hidden="false" customHeight="false" outlineLevel="0" collapsed="false">
      <c r="A21" s="24" t="n">
        <v>17</v>
      </c>
      <c r="B21" s="25" t="s">
        <v>114</v>
      </c>
      <c r="C21" s="26" t="s">
        <v>182</v>
      </c>
      <c r="D21" s="26" t="s">
        <v>170</v>
      </c>
      <c r="E21" s="27" t="n">
        <f aca="false">FORECAST(A21,$E$5:$E$12,$A$5:$A$12)</f>
        <v>10.0394047619048</v>
      </c>
      <c r="F21" s="28" t="n">
        <f aca="false">E21/E17-1</f>
        <v>0.161216143645953</v>
      </c>
      <c r="G21" s="27" t="n">
        <f aca="false">GROWTH($E$5:$E$12,$A$5:$A$12,A21)</f>
        <v>12.0888100816092</v>
      </c>
      <c r="H21" s="27" t="n">
        <f aca="false">FORECAST(A21,$H$5:$H$12,$A$5:$A$12)</f>
        <v>2.16142857142857</v>
      </c>
      <c r="I21" s="11" t="s">
        <v>176</v>
      </c>
    </row>
    <row r="22" customFormat="false" ht="15" hidden="false" customHeight="false" outlineLevel="0" collapsed="false">
      <c r="A22" s="24" t="n">
        <v>18</v>
      </c>
      <c r="B22" s="25" t="s">
        <v>115</v>
      </c>
      <c r="C22" s="26" t="s">
        <v>183</v>
      </c>
      <c r="D22" s="26" t="s">
        <v>170</v>
      </c>
      <c r="E22" s="27" t="n">
        <f aca="false">FORECAST(A22,$E$5:$E$12,$A$5:$A$12)</f>
        <v>10.3878571428571</v>
      </c>
      <c r="F22" s="28" t="n">
        <f aca="false">E22/E18-1</f>
        <v>0.154970218398412</v>
      </c>
      <c r="G22" s="27" t="n">
        <f aca="false">GROWTH($E$5:$E$12,$A$5:$A$12,A22)</f>
        <v>12.8514257101601</v>
      </c>
      <c r="H22" s="27" t="n">
        <f aca="false">FORECAST(A22,$H$5:$H$12,$A$5:$A$12)</f>
        <v>2.22714285714286</v>
      </c>
      <c r="I22" s="11" t="s">
        <v>176</v>
      </c>
    </row>
    <row r="25" customFormat="false" ht="15" hidden="false" customHeight="false" outlineLevel="0" collapsed="false">
      <c r="A25" s="9" t="s">
        <v>184</v>
      </c>
      <c r="B25" s="10"/>
      <c r="C25" s="10"/>
      <c r="D25" s="10"/>
      <c r="E25" s="10"/>
      <c r="F25" s="10"/>
      <c r="G25" s="10"/>
      <c r="H25" s="10"/>
      <c r="I25" s="10"/>
    </row>
    <row r="26" customFormat="false" ht="25.5" hidden="false" customHeight="true" outlineLevel="0" collapsed="false">
      <c r="B26" s="18" t="s">
        <v>185</v>
      </c>
      <c r="C26" s="18"/>
      <c r="D26" s="29" t="s">
        <v>186</v>
      </c>
      <c r="E26" s="29"/>
      <c r="F26" s="30" t="n">
        <v>601</v>
      </c>
      <c r="I26" s="2" t="s">
        <v>167</v>
      </c>
    </row>
    <row r="27" customFormat="false" ht="25.5" hidden="false" customHeight="true" outlineLevel="0" collapsed="false">
      <c r="B27" s="18" t="s">
        <v>187</v>
      </c>
      <c r="C27" s="18"/>
      <c r="D27" s="29" t="s">
        <v>188</v>
      </c>
      <c r="E27" s="29"/>
      <c r="F27" s="31" t="n">
        <f aca="false">F26/(E12*100000)*10000</f>
        <v>8.46478873239437</v>
      </c>
      <c r="I27" s="2" t="s">
        <v>189</v>
      </c>
    </row>
    <row r="28" customFormat="false" ht="25.5" hidden="false" customHeight="true" outlineLevel="0" collapsed="false">
      <c r="B28" s="18" t="s">
        <v>190</v>
      </c>
      <c r="C28" s="18"/>
      <c r="D28" s="29" t="s">
        <v>188</v>
      </c>
      <c r="E28" s="29"/>
      <c r="F28" s="32" t="n">
        <v>4</v>
      </c>
      <c r="I28" s="2" t="s">
        <v>167</v>
      </c>
    </row>
    <row r="29" customFormat="false" ht="25.5" hidden="false" customHeight="true" outlineLevel="0" collapsed="false">
      <c r="B29" s="18" t="s">
        <v>191</v>
      </c>
      <c r="C29" s="18"/>
      <c r="D29" s="29" t="s">
        <v>192</v>
      </c>
      <c r="E29" s="29"/>
      <c r="F29" s="33" t="n">
        <f aca="false">E12*100000*0.01*F27/10000</f>
        <v>6.01</v>
      </c>
      <c r="I29" s="2" t="s">
        <v>193</v>
      </c>
    </row>
    <row r="30" customFormat="false" ht="25.5" hidden="false" customHeight="true" outlineLevel="0" collapsed="false">
      <c r="B30" s="18" t="s">
        <v>194</v>
      </c>
      <c r="C30" s="18"/>
      <c r="D30" s="29" t="s">
        <v>186</v>
      </c>
      <c r="E30" s="29"/>
      <c r="F30" s="30" t="n">
        <v>239</v>
      </c>
      <c r="I30" s="2" t="s">
        <v>195</v>
      </c>
    </row>
    <row r="31" customFormat="false" ht="25.5" hidden="false" customHeight="true" outlineLevel="0" collapsed="false">
      <c r="B31" s="18" t="s">
        <v>196</v>
      </c>
      <c r="C31" s="18"/>
      <c r="D31" s="29" t="s">
        <v>186</v>
      </c>
      <c r="E31" s="29"/>
      <c r="F31" s="30" t="n">
        <v>90</v>
      </c>
      <c r="I31" s="2" t="s">
        <v>197</v>
      </c>
    </row>
    <row r="32" customFormat="false" ht="25.5" hidden="false" customHeight="true" outlineLevel="0" collapsed="false">
      <c r="B32" s="18" t="s">
        <v>198</v>
      </c>
      <c r="C32" s="18"/>
      <c r="D32" s="29" t="s">
        <v>199</v>
      </c>
      <c r="E32" s="29"/>
      <c r="F32" s="34" t="n">
        <v>5</v>
      </c>
      <c r="I32" s="2" t="s">
        <v>167</v>
      </c>
    </row>
    <row r="33" customFormat="false" ht="25.5" hidden="false" customHeight="true" outlineLevel="0" collapsed="false">
      <c r="B33" s="18" t="s">
        <v>200</v>
      </c>
      <c r="C33" s="18"/>
      <c r="D33" s="29" t="s">
        <v>62</v>
      </c>
      <c r="E33" s="29"/>
      <c r="F33" s="35" t="n">
        <f aca="false">E12*1000000000000/(H12*10000000)/3</f>
        <v>150743.099787686</v>
      </c>
      <c r="I33" s="2" t="s">
        <v>201</v>
      </c>
    </row>
    <row r="34" customFormat="false" ht="25.5" hidden="false" customHeight="true" outlineLevel="0" collapsed="false">
      <c r="B34" s="18" t="s">
        <v>202</v>
      </c>
      <c r="C34" s="18"/>
      <c r="D34" s="29" t="s">
        <v>203</v>
      </c>
      <c r="E34" s="29"/>
      <c r="F34" s="22" t="n">
        <f aca="false">G22/E22-1</f>
        <v>0.23715849509896</v>
      </c>
      <c r="I34" s="2" t="s">
        <v>204</v>
      </c>
    </row>
  </sheetData>
  <mergeCells count="18"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11" min="4" style="0" width="12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5" t="s">
        <v>205</v>
      </c>
    </row>
    <row r="2" customFormat="false" ht="15" hidden="false" customHeight="false" outlineLevel="0" collapsed="false">
      <c r="A2" s="6" t="s">
        <v>206</v>
      </c>
    </row>
    <row r="4" customFormat="false" ht="15" hidden="false" customHeight="false" outlineLevel="0" collapsed="false">
      <c r="A4" s="7" t="s">
        <v>207</v>
      </c>
      <c r="B4" s="7" t="s">
        <v>107</v>
      </c>
      <c r="C4" s="7" t="s">
        <v>25</v>
      </c>
      <c r="D4" s="7" t="s">
        <v>108</v>
      </c>
      <c r="E4" s="7" t="s">
        <v>109</v>
      </c>
      <c r="F4" s="7" t="s">
        <v>110</v>
      </c>
      <c r="G4" s="7" t="s">
        <v>111</v>
      </c>
      <c r="H4" s="7" t="s">
        <v>112</v>
      </c>
      <c r="I4" s="7" t="s">
        <v>113</v>
      </c>
      <c r="J4" s="7" t="s">
        <v>114</v>
      </c>
      <c r="K4" s="7" t="s">
        <v>115</v>
      </c>
      <c r="L4" s="7" t="s">
        <v>208</v>
      </c>
    </row>
    <row r="5" customFormat="false" ht="15" hidden="false" customHeight="false" outlineLevel="0" collapsed="false">
      <c r="B5" s="11" t="s">
        <v>136</v>
      </c>
      <c r="D5" s="36" t="s">
        <v>175</v>
      </c>
      <c r="E5" s="36" t="s">
        <v>177</v>
      </c>
      <c r="F5" s="36" t="s">
        <v>178</v>
      </c>
      <c r="G5" s="36" t="s">
        <v>179</v>
      </c>
      <c r="H5" s="36" t="s">
        <v>180</v>
      </c>
      <c r="I5" s="36" t="s">
        <v>181</v>
      </c>
      <c r="J5" s="36" t="s">
        <v>182</v>
      </c>
      <c r="K5" s="36" t="s">
        <v>183</v>
      </c>
    </row>
    <row r="6" customFormat="false" ht="15" hidden="false" customHeight="false" outlineLevel="0" collapsed="false">
      <c r="B6" s="11" t="s">
        <v>209</v>
      </c>
      <c r="D6" s="37" t="n">
        <f aca="false">Baseline!A15</f>
        <v>11</v>
      </c>
      <c r="E6" s="37" t="n">
        <f aca="false">Baseline!A16</f>
        <v>12</v>
      </c>
      <c r="F6" s="37" t="n">
        <f aca="false">Baseline!A17</f>
        <v>13</v>
      </c>
      <c r="G6" s="37" t="n">
        <f aca="false">Baseline!A18</f>
        <v>14</v>
      </c>
      <c r="H6" s="37" t="n">
        <f aca="false">Baseline!A19</f>
        <v>15</v>
      </c>
      <c r="I6" s="37" t="n">
        <f aca="false">Baseline!A20</f>
        <v>16</v>
      </c>
      <c r="J6" s="37" t="n">
        <f aca="false">Baseline!A21</f>
        <v>17</v>
      </c>
      <c r="K6" s="37" t="n">
        <f aca="false">Baseline!A22</f>
        <v>18</v>
      </c>
    </row>
    <row r="8" customFormat="false" ht="15" hidden="false" customHeight="false" outlineLevel="0" collapsed="false">
      <c r="A8" s="38" t="s">
        <v>210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customFormat="false" ht="15" hidden="false" customHeight="false" outlineLevel="0" collapsed="false">
      <c r="A9" s="40" t="n">
        <v>1</v>
      </c>
      <c r="B9" s="20" t="s">
        <v>211</v>
      </c>
      <c r="C9" s="11" t="s">
        <v>212</v>
      </c>
      <c r="D9" s="41" t="n">
        <f aca="false">Baseline!H15*100</f>
        <v>176.714285714286</v>
      </c>
      <c r="E9" s="41" t="n">
        <f aca="false">Baseline!H16*100</f>
        <v>183.285714285714</v>
      </c>
      <c r="F9" s="41" t="n">
        <f aca="false">Baseline!H17*100</f>
        <v>189.857142857143</v>
      </c>
      <c r="G9" s="41" t="n">
        <f aca="false">Baseline!H18*100</f>
        <v>196.428571428571</v>
      </c>
      <c r="H9" s="41" t="n">
        <f aca="false">Baseline!H19*100</f>
        <v>203</v>
      </c>
      <c r="I9" s="41" t="n">
        <f aca="false">Baseline!H20*100</f>
        <v>209.571428571429</v>
      </c>
      <c r="J9" s="41" t="n">
        <f aca="false">Baseline!H21*100</f>
        <v>216.142857142857</v>
      </c>
      <c r="K9" s="41" t="n">
        <f aca="false">Baseline!H22*100</f>
        <v>222.714285714286</v>
      </c>
    </row>
    <row r="10" customFormat="false" ht="15" hidden="false" customHeight="false" outlineLevel="0" collapsed="false">
      <c r="A10" s="40" t="n">
        <v>2</v>
      </c>
      <c r="B10" s="20" t="s">
        <v>213</v>
      </c>
      <c r="C10" s="11" t="s">
        <v>212</v>
      </c>
      <c r="D10" s="23" t="n">
        <f aca="false">D9*Assumptions!$D$6</f>
        <v>35.3428571428572</v>
      </c>
      <c r="E10" s="23" t="n">
        <f aca="false">E9*Assumptions!$D$6</f>
        <v>36.6571428571429</v>
      </c>
      <c r="F10" s="23" t="n">
        <f aca="false">F9*Assumptions!$D$6</f>
        <v>37.9714285714286</v>
      </c>
      <c r="G10" s="23" t="n">
        <f aca="false">G9*Assumptions!$D$6</f>
        <v>39.2857142857143</v>
      </c>
      <c r="H10" s="23" t="n">
        <f aca="false">H9*Assumptions!$D$6</f>
        <v>40.6</v>
      </c>
      <c r="I10" s="23" t="n">
        <f aca="false">I9*Assumptions!$D$6</f>
        <v>41.9142857142857</v>
      </c>
      <c r="J10" s="23" t="n">
        <f aca="false">J9*Assumptions!$D$6</f>
        <v>43.2285714285714</v>
      </c>
      <c r="K10" s="23" t="n">
        <f aca="false">K9*Assumptions!$D$6</f>
        <v>44.5428571428571</v>
      </c>
    </row>
    <row r="11" customFormat="false" ht="15" hidden="false" customHeight="false" outlineLevel="0" collapsed="false">
      <c r="A11" s="40" t="n">
        <v>3</v>
      </c>
      <c r="B11" s="20" t="s">
        <v>214</v>
      </c>
      <c r="C11" s="11" t="s">
        <v>118</v>
      </c>
      <c r="D11" s="42" t="n">
        <f aca="false">Assumptions!D$33</f>
        <v>0.02</v>
      </c>
      <c r="E11" s="42" t="n">
        <f aca="false">Assumptions!E$33</f>
        <v>0.08</v>
      </c>
      <c r="F11" s="42" t="n">
        <f aca="false">Assumptions!F$33</f>
        <v>0.2</v>
      </c>
      <c r="G11" s="42" t="n">
        <f aca="false">Assumptions!G$33</f>
        <v>0.35</v>
      </c>
      <c r="H11" s="42" t="n">
        <f aca="false">Assumptions!H$33</f>
        <v>0.5</v>
      </c>
      <c r="I11" s="42" t="n">
        <f aca="false">Assumptions!I$33</f>
        <v>0.65</v>
      </c>
      <c r="J11" s="42" t="n">
        <f aca="false">Assumptions!J$33</f>
        <v>0.8</v>
      </c>
      <c r="K11" s="42" t="n">
        <f aca="false">Assumptions!K$33</f>
        <v>0.9</v>
      </c>
    </row>
    <row r="12" customFormat="false" ht="15" hidden="false" customHeight="false" outlineLevel="0" collapsed="false">
      <c r="A12" s="40" t="n">
        <v>4</v>
      </c>
      <c r="B12" s="16" t="s">
        <v>215</v>
      </c>
      <c r="C12" s="11" t="s">
        <v>212</v>
      </c>
      <c r="D12" s="43" t="n">
        <f aca="false">D10*D11*Assumptions!$D$7</f>
        <v>0.0565485714285714</v>
      </c>
      <c r="E12" s="43" t="n">
        <f aca="false">E10*E11*Assumptions!$D$7</f>
        <v>0.234605714285714</v>
      </c>
      <c r="F12" s="43" t="n">
        <f aca="false">F10*F11*Assumptions!$D$7</f>
        <v>0.607542857142857</v>
      </c>
      <c r="G12" s="43" t="n">
        <f aca="false">G10*G11*Assumptions!$D$7</f>
        <v>1.1</v>
      </c>
      <c r="H12" s="43" t="n">
        <f aca="false">H10*H11*Assumptions!$D$7</f>
        <v>1.624</v>
      </c>
      <c r="I12" s="43" t="n">
        <f aca="false">I10*I11*Assumptions!$D$7</f>
        <v>2.17954285714286</v>
      </c>
      <c r="J12" s="43" t="n">
        <f aca="false">J10*J11*Assumptions!$D$7</f>
        <v>2.76662857142857</v>
      </c>
      <c r="K12" s="43" t="n">
        <f aca="false">K10*K11*Assumptions!$D$7</f>
        <v>3.20708571428571</v>
      </c>
    </row>
    <row r="13" customFormat="false" ht="15" hidden="false" customHeight="false" outlineLevel="0" collapsed="false">
      <c r="A13" s="40" t="n">
        <v>5</v>
      </c>
      <c r="B13" s="20" t="s">
        <v>216</v>
      </c>
      <c r="C13" s="11" t="s">
        <v>212</v>
      </c>
      <c r="D13" s="23" t="n">
        <f aca="false">D12*Assumptions!$D$9*3</f>
        <v>0.848228571428572</v>
      </c>
      <c r="E13" s="23" t="n">
        <f aca="false">E12*Assumptions!$D$9*3</f>
        <v>3.51908571428572</v>
      </c>
      <c r="F13" s="23" t="n">
        <f aca="false">F12*Assumptions!$D$9*3</f>
        <v>9.11314285714286</v>
      </c>
      <c r="G13" s="23" t="n">
        <f aca="false">G12*Assumptions!$D$9*3</f>
        <v>16.5</v>
      </c>
      <c r="H13" s="23" t="n">
        <f aca="false">H12*Assumptions!$D$9*3</f>
        <v>24.36</v>
      </c>
      <c r="I13" s="23" t="n">
        <f aca="false">I12*Assumptions!$D$9*3</f>
        <v>32.6931428571429</v>
      </c>
      <c r="J13" s="23" t="n">
        <f aca="false">J12*Assumptions!$D$9*3</f>
        <v>41.4994285714286</v>
      </c>
      <c r="K13" s="23" t="n">
        <f aca="false">K12*Assumptions!$D$9*3</f>
        <v>48.1062857142857</v>
      </c>
      <c r="L13" s="43" t="n">
        <f aca="false">SUM(D13:K13)</f>
        <v>176.639314285714</v>
      </c>
    </row>
    <row r="14" customFormat="false" ht="15" hidden="false" customHeight="false" outlineLevel="0" collapsed="false">
      <c r="A14" s="40" t="n">
        <v>6</v>
      </c>
      <c r="B14" s="20" t="s">
        <v>217</v>
      </c>
      <c r="C14" s="11" t="s">
        <v>186</v>
      </c>
      <c r="D14" s="33" t="n">
        <f aca="false">D13*Assumptions!$D$10/100</f>
        <v>2.12057142857143</v>
      </c>
      <c r="E14" s="33" t="n">
        <f aca="false">E13*Assumptions!$D$10/100</f>
        <v>8.79771428571429</v>
      </c>
      <c r="F14" s="33" t="n">
        <f aca="false">F13*Assumptions!$D$10/100</f>
        <v>22.7828571428571</v>
      </c>
      <c r="G14" s="33" t="n">
        <f aca="false">G13*Assumptions!$D$10/100</f>
        <v>41.25</v>
      </c>
      <c r="H14" s="33" t="n">
        <f aca="false">H13*Assumptions!$D$10/100</f>
        <v>60.9</v>
      </c>
      <c r="I14" s="33" t="n">
        <f aca="false">I13*Assumptions!$D$10/100</f>
        <v>81.7328571428571</v>
      </c>
      <c r="J14" s="33" t="n">
        <f aca="false">J13*Assumptions!$D$10/100</f>
        <v>103.748571428571</v>
      </c>
      <c r="K14" s="33" t="n">
        <f aca="false">K13*Assumptions!$D$10/100</f>
        <v>120.265714285714</v>
      </c>
      <c r="L14" s="44" t="n">
        <f aca="false">SUM(D14:K14)</f>
        <v>441.598285714286</v>
      </c>
    </row>
    <row r="15" customFormat="false" ht="15" hidden="false" customHeight="false" outlineLevel="0" collapsed="false">
      <c r="A15" s="40" t="n">
        <v>7</v>
      </c>
      <c r="B15" s="20" t="s">
        <v>218</v>
      </c>
      <c r="C15" s="11" t="s">
        <v>212</v>
      </c>
      <c r="D15" s="23" t="n">
        <f aca="false">D13*Assumptions!$D$11</f>
        <v>0.0848228571428572</v>
      </c>
      <c r="E15" s="23" t="n">
        <f aca="false">E13*Assumptions!$D$11</f>
        <v>0.351908571428572</v>
      </c>
      <c r="F15" s="23" t="n">
        <f aca="false">F13*Assumptions!$D$11</f>
        <v>0.911314285714286</v>
      </c>
      <c r="G15" s="23" t="n">
        <f aca="false">G13*Assumptions!$D$11</f>
        <v>1.65</v>
      </c>
      <c r="H15" s="23" t="n">
        <f aca="false">H13*Assumptions!$D$11</f>
        <v>2.436</v>
      </c>
      <c r="I15" s="23" t="n">
        <f aca="false">I13*Assumptions!$D$11</f>
        <v>3.26931428571429</v>
      </c>
      <c r="J15" s="23" t="n">
        <f aca="false">J13*Assumptions!$D$11</f>
        <v>4.14994285714286</v>
      </c>
      <c r="K15" s="23" t="n">
        <f aca="false">K13*Assumptions!$D$11</f>
        <v>4.81062857142857</v>
      </c>
      <c r="L15" s="43" t="n">
        <f aca="false">SUM(D15:K15)</f>
        <v>17.6639314285714</v>
      </c>
    </row>
    <row r="16" customFormat="false" ht="15" hidden="false" customHeight="false" outlineLevel="0" collapsed="false">
      <c r="A16" s="40" t="n">
        <v>8</v>
      </c>
      <c r="B16" s="20" t="s">
        <v>219</v>
      </c>
      <c r="C16" s="11" t="s">
        <v>212</v>
      </c>
      <c r="D16" s="23" t="n">
        <f aca="false">N(C16)*(1-Assumptions!$D$12)+D15</f>
        <v>0.0848228571428572</v>
      </c>
      <c r="E16" s="23" t="n">
        <f aca="false">N(D16)*(1-Assumptions!$D$12)+E15</f>
        <v>0.402802285714286</v>
      </c>
      <c r="F16" s="23" t="n">
        <f aca="false">N(E16)*(1-Assumptions!$D$12)+F15</f>
        <v>1.15299565714286</v>
      </c>
      <c r="G16" s="23" t="n">
        <f aca="false">N(F16)*(1-Assumptions!$D$12)+G15</f>
        <v>2.34179739428571</v>
      </c>
      <c r="H16" s="23" t="n">
        <f aca="false">N(G16)*(1-Assumptions!$D$12)+H15</f>
        <v>3.84107843657143</v>
      </c>
      <c r="I16" s="23" t="n">
        <f aca="false">N(H16)*(1-Assumptions!$D$12)+I15</f>
        <v>5.57396134765714</v>
      </c>
      <c r="J16" s="23" t="n">
        <f aca="false">N(I16)*(1-Assumptions!$D$12)+J15</f>
        <v>7.49431966573714</v>
      </c>
      <c r="K16" s="23" t="n">
        <f aca="false">N(J16)*(1-Assumptions!$D$12)+K15</f>
        <v>9.30722037087086</v>
      </c>
    </row>
    <row r="17" customFormat="false" ht="15" hidden="false" customHeight="false" outlineLevel="0" collapsed="false">
      <c r="A17" s="40" t="n">
        <v>9</v>
      </c>
      <c r="B17" s="20" t="s">
        <v>220</v>
      </c>
      <c r="C17" s="11" t="s">
        <v>186</v>
      </c>
      <c r="D17" s="33" t="n">
        <f aca="false">N(C16)*(1-Assumptions!$D$12)*Assumptions!$D$13/100</f>
        <v>0</v>
      </c>
      <c r="E17" s="33" t="n">
        <f aca="false">N(D16)*(1-Assumptions!$D$12)*Assumptions!$D$13/100</f>
        <v>0.229021714285714</v>
      </c>
      <c r="F17" s="33" t="n">
        <f aca="false">N(E16)*(1-Assumptions!$D$12)*Assumptions!$D$13/100</f>
        <v>1.08756617142857</v>
      </c>
      <c r="G17" s="33" t="n">
        <f aca="false">N(F16)*(1-Assumptions!$D$12)*Assumptions!$D$13/100</f>
        <v>3.11308827428572</v>
      </c>
      <c r="H17" s="33" t="n">
        <f aca="false">N(G16)*(1-Assumptions!$D$12)*Assumptions!$D$13/100</f>
        <v>6.32285296457143</v>
      </c>
      <c r="I17" s="33" t="n">
        <f aca="false">N(H16)*(1-Assumptions!$D$12)*Assumptions!$D$13/100</f>
        <v>10.3709117787429</v>
      </c>
      <c r="J17" s="33" t="n">
        <f aca="false">N(I16)*(1-Assumptions!$D$12)*Assumptions!$D$13/100</f>
        <v>15.0496956386743</v>
      </c>
      <c r="K17" s="33" t="n">
        <f aca="false">N(J16)*(1-Assumptions!$D$12)*Assumptions!$D$13/100</f>
        <v>20.2346630974903</v>
      </c>
      <c r="L17" s="44" t="n">
        <f aca="false">SUM(D17:K17)</f>
        <v>56.4077996394789</v>
      </c>
    </row>
    <row r="18" customFormat="false" ht="15" hidden="false" customHeight="false" outlineLevel="0" collapsed="false">
      <c r="A18" s="40" t="n">
        <v>10</v>
      </c>
      <c r="B18" s="20" t="s">
        <v>221</v>
      </c>
      <c r="C18" s="11" t="s">
        <v>186</v>
      </c>
      <c r="D18" s="33" t="n">
        <f aca="false">D12*Assumptions!$D$15*3*Assumptions!$D$16/100</f>
        <v>0.848228571428572</v>
      </c>
      <c r="E18" s="33" t="n">
        <f aca="false">E12*Assumptions!$D$15*3*Assumptions!$D$16/100</f>
        <v>3.51908571428572</v>
      </c>
      <c r="F18" s="33" t="n">
        <f aca="false">F12*Assumptions!$D$15*3*Assumptions!$D$16/100</f>
        <v>9.11314285714286</v>
      </c>
      <c r="G18" s="33" t="n">
        <f aca="false">G12*Assumptions!$D$15*3*Assumptions!$D$16/100</f>
        <v>16.5</v>
      </c>
      <c r="H18" s="33" t="n">
        <f aca="false">H12*Assumptions!$D$15*3*Assumptions!$D$16/100</f>
        <v>24.36</v>
      </c>
      <c r="I18" s="33" t="n">
        <f aca="false">I12*Assumptions!$D$15*3*Assumptions!$D$16/100</f>
        <v>32.6931428571429</v>
      </c>
      <c r="J18" s="33" t="n">
        <f aca="false">J12*Assumptions!$D$15*3*Assumptions!$D$16/100</f>
        <v>41.4994285714286</v>
      </c>
      <c r="K18" s="33" t="n">
        <f aca="false">K12*Assumptions!$D$15*3*Assumptions!$D$16/100</f>
        <v>48.1062857142857</v>
      </c>
      <c r="L18" s="44" t="n">
        <f aca="false">SUM(D18:K18)</f>
        <v>176.639314285714</v>
      </c>
    </row>
    <row r="19" customFormat="false" ht="15" hidden="false" customHeight="false" outlineLevel="0" collapsed="false">
      <c r="A19" s="40" t="n">
        <v>11</v>
      </c>
      <c r="B19" s="20" t="s">
        <v>222</v>
      </c>
      <c r="C19" s="11" t="s">
        <v>212</v>
      </c>
      <c r="D19" s="23" t="n">
        <f aca="false">N(C19)+D12*Assumptions!$D$17/4</f>
        <v>0.000141371428571429</v>
      </c>
      <c r="E19" s="23" t="n">
        <f aca="false">N(D19)+E12*Assumptions!$D$17/4</f>
        <v>0.000727885714285715</v>
      </c>
      <c r="F19" s="23" t="n">
        <f aca="false">N(E19)+F12*Assumptions!$D$17/4</f>
        <v>0.00224674285714286</v>
      </c>
      <c r="G19" s="23" t="n">
        <f aca="false">N(F19)+G12*Assumptions!$D$17/4</f>
        <v>0.00499674285714286</v>
      </c>
      <c r="H19" s="23" t="n">
        <f aca="false">N(G19)+H12*Assumptions!$D$17/4</f>
        <v>0.00905674285714286</v>
      </c>
      <c r="I19" s="23" t="n">
        <f aca="false">N(H19)+I12*Assumptions!$D$17/4</f>
        <v>0.0145056</v>
      </c>
      <c r="J19" s="23" t="n">
        <f aca="false">N(I19)+J12*Assumptions!$D$17/4</f>
        <v>0.0214221714285714</v>
      </c>
      <c r="K19" s="23" t="n">
        <f aca="false">N(J19)+K12*Assumptions!$D$17/4</f>
        <v>0.0294398857142857</v>
      </c>
    </row>
    <row r="20" customFormat="false" ht="15" hidden="false" customHeight="false" outlineLevel="0" collapsed="false">
      <c r="A20" s="40" t="n">
        <v>12</v>
      </c>
      <c r="B20" s="20" t="s">
        <v>223</v>
      </c>
      <c r="C20" s="11" t="s">
        <v>186</v>
      </c>
      <c r="D20" s="33" t="n">
        <f aca="false">D19*Assumptions!$D$15*3/100</f>
        <v>0.212057142857143</v>
      </c>
      <c r="E20" s="33" t="n">
        <f aca="false">E19*Assumptions!$D$15*3/100</f>
        <v>1.09182857142857</v>
      </c>
      <c r="F20" s="33" t="n">
        <f aca="false">F19*Assumptions!$D$15*3/100</f>
        <v>3.37011428571429</v>
      </c>
      <c r="G20" s="33" t="n">
        <f aca="false">G19*Assumptions!$D$15*3/100</f>
        <v>7.49511428571429</v>
      </c>
      <c r="H20" s="33" t="n">
        <f aca="false">H19*Assumptions!$D$15*3/100</f>
        <v>13.5851142857143</v>
      </c>
      <c r="I20" s="33" t="n">
        <f aca="false">I19*Assumptions!$D$15*3/100</f>
        <v>21.7584</v>
      </c>
      <c r="J20" s="33" t="n">
        <f aca="false">J19*Assumptions!$D$15*3/100</f>
        <v>32.1332571428572</v>
      </c>
      <c r="K20" s="33" t="n">
        <f aca="false">K19*Assumptions!$D$15*3/100</f>
        <v>44.1598285714286</v>
      </c>
      <c r="L20" s="44" t="n">
        <f aca="false">SUM(D20:K20)</f>
        <v>123.805714285714</v>
      </c>
    </row>
    <row r="21" customFormat="false" ht="15" hidden="false" customHeight="false" outlineLevel="0" collapsed="false">
      <c r="A21" s="40" t="n">
        <v>13</v>
      </c>
      <c r="B21" s="16" t="s">
        <v>224</v>
      </c>
      <c r="C21" s="11" t="s">
        <v>186</v>
      </c>
      <c r="D21" s="44" t="n">
        <f aca="false">D14+D17+D18+D20</f>
        <v>3.18085714285714</v>
      </c>
      <c r="E21" s="44" t="n">
        <f aca="false">E14+E17+E18+E20</f>
        <v>13.6376502857143</v>
      </c>
      <c r="F21" s="44" t="n">
        <f aca="false">F14+F17+F18+F20</f>
        <v>36.3536804571429</v>
      </c>
      <c r="G21" s="44" t="n">
        <f aca="false">G14+G17+G18+G20</f>
        <v>68.35820256</v>
      </c>
      <c r="H21" s="44" t="n">
        <f aca="false">H14+H17+H18+H20</f>
        <v>105.167967250286</v>
      </c>
      <c r="I21" s="44" t="n">
        <f aca="false">I14+I17+I18+I20</f>
        <v>146.555311778743</v>
      </c>
      <c r="J21" s="44" t="n">
        <f aca="false">J14+J17+J18+J20</f>
        <v>192.430952781531</v>
      </c>
      <c r="K21" s="44" t="n">
        <f aca="false">K14+K17+K18+K20</f>
        <v>232.766491668919</v>
      </c>
      <c r="L21" s="44" t="n">
        <f aca="false">SUM(D21:K21)</f>
        <v>798.451113925193</v>
      </c>
    </row>
    <row r="22" customFormat="false" ht="15" hidden="false" customHeight="false" outlineLevel="0" collapsed="false">
      <c r="A22" s="40" t="n">
        <v>14</v>
      </c>
      <c r="B22" s="20" t="s">
        <v>224</v>
      </c>
      <c r="C22" s="11" t="s">
        <v>225</v>
      </c>
      <c r="D22" s="45" t="n">
        <f aca="false">D21/100000</f>
        <v>3.18085714285714E-005</v>
      </c>
      <c r="E22" s="45" t="n">
        <f aca="false">E21/100000</f>
        <v>0.000136376502857143</v>
      </c>
      <c r="F22" s="45" t="n">
        <f aca="false">F21/100000</f>
        <v>0.000363536804571429</v>
      </c>
      <c r="G22" s="45" t="n">
        <f aca="false">G21/100000</f>
        <v>0.0006835820256</v>
      </c>
      <c r="H22" s="45" t="n">
        <f aca="false">H21/100000</f>
        <v>0.00105167967250286</v>
      </c>
      <c r="I22" s="45" t="n">
        <f aca="false">I21/100000</f>
        <v>0.00146555311778743</v>
      </c>
      <c r="J22" s="45" t="n">
        <f aca="false">J21/100000</f>
        <v>0.00192430952781531</v>
      </c>
      <c r="K22" s="45" t="n">
        <f aca="false">K21/100000</f>
        <v>0.00232766491668919</v>
      </c>
      <c r="L22" s="46" t="n">
        <f aca="false">SUM(D22:K22)</f>
        <v>0.00798451113925193</v>
      </c>
    </row>
    <row r="23" customFormat="false" ht="15" hidden="false" customHeight="false" outlineLevel="0" collapsed="false">
      <c r="A23" s="40" t="n">
        <v>15</v>
      </c>
      <c r="B23" s="20" t="s">
        <v>226</v>
      </c>
      <c r="C23" s="11" t="s">
        <v>225</v>
      </c>
      <c r="D23" s="41" t="n">
        <f aca="false">Baseline!E15</f>
        <v>7.94869047619048</v>
      </c>
      <c r="E23" s="41" t="n">
        <f aca="false">Baseline!E16</f>
        <v>8.29714285714286</v>
      </c>
      <c r="F23" s="41" t="n">
        <f aca="false">Baseline!E17</f>
        <v>8.64559523809524</v>
      </c>
      <c r="G23" s="41" t="n">
        <f aca="false">Baseline!E18</f>
        <v>8.99404761904762</v>
      </c>
      <c r="H23" s="41" t="n">
        <f aca="false">Baseline!E19</f>
        <v>9.3425</v>
      </c>
      <c r="I23" s="41" t="n">
        <f aca="false">Baseline!E20</f>
        <v>9.69095238095238</v>
      </c>
      <c r="J23" s="41" t="n">
        <f aca="false">Baseline!E21</f>
        <v>10.0394047619048</v>
      </c>
      <c r="K23" s="41" t="n">
        <f aca="false">Baseline!E22</f>
        <v>10.3878571428571</v>
      </c>
      <c r="L23" s="43" t="n">
        <f aca="false">SUM(D23:K23)</f>
        <v>73.3461904761905</v>
      </c>
    </row>
    <row r="24" customFormat="false" ht="15" hidden="false" customHeight="false" outlineLevel="0" collapsed="false">
      <c r="A24" s="40" t="n">
        <v>16</v>
      </c>
      <c r="B24" s="20" t="s">
        <v>227</v>
      </c>
      <c r="C24" s="11" t="s">
        <v>225</v>
      </c>
      <c r="D24" s="23" t="n">
        <f aca="false">D23+D22</f>
        <v>7.94872228476191</v>
      </c>
      <c r="E24" s="23" t="n">
        <f aca="false">E23+E22</f>
        <v>8.29727923364571</v>
      </c>
      <c r="F24" s="23" t="n">
        <f aca="false">F23+F22</f>
        <v>8.64595877489981</v>
      </c>
      <c r="G24" s="23" t="n">
        <f aca="false">G23+G22</f>
        <v>8.99473120107322</v>
      </c>
      <c r="H24" s="23" t="n">
        <f aca="false">H23+H22</f>
        <v>9.3435516796725</v>
      </c>
      <c r="I24" s="23" t="n">
        <f aca="false">I23+I22</f>
        <v>9.69241793407017</v>
      </c>
      <c r="J24" s="23" t="n">
        <f aca="false">J23+J22</f>
        <v>10.0413290714326</v>
      </c>
      <c r="K24" s="23" t="n">
        <f aca="false">K23+K22</f>
        <v>10.3901848077738</v>
      </c>
      <c r="L24" s="43" t="n">
        <f aca="false">SUM(D24:K24)</f>
        <v>73.3541749873297</v>
      </c>
    </row>
    <row r="25" customFormat="false" ht="15" hidden="false" customHeight="false" outlineLevel="0" collapsed="false">
      <c r="A25" s="40" t="n">
        <v>17</v>
      </c>
      <c r="B25" s="20" t="s">
        <v>228</v>
      </c>
      <c r="C25" s="11" t="s">
        <v>229</v>
      </c>
      <c r="D25" s="47" t="n">
        <f aca="false">IF(D23&gt;0,D22/D23,0)</f>
        <v>4.00173733319355E-006</v>
      </c>
      <c r="E25" s="47" t="n">
        <f aca="false">IF(E23&gt;0,E22/E23,0)</f>
        <v>1.64365619834711E-005</v>
      </c>
      <c r="F25" s="47" t="n">
        <f aca="false">IF(F23&gt;0,F22/F23,0)</f>
        <v>4.20487883783375E-005</v>
      </c>
      <c r="G25" s="47" t="n">
        <f aca="false">IF(G23&gt;0,G22/G23,0)</f>
        <v>7.60038254803442E-005</v>
      </c>
      <c r="H25" s="47" t="n">
        <f aca="false">IF(H23&gt;0,H22/H23,0)</f>
        <v>0.000112569405673306</v>
      </c>
      <c r="I25" s="47" t="n">
        <f aca="false">IF(I23&gt;0,I22/I23,0)</f>
        <v>0.000151229008272498</v>
      </c>
      <c r="J25" s="47" t="n">
        <f aca="false">IF(J23&gt;0,J22/J23,0)</f>
        <v>0.000191675659409335</v>
      </c>
      <c r="K25" s="47" t="n">
        <f aca="false">IF(K23&gt;0,K22/K23,0)</f>
        <v>0.00022407556098225</v>
      </c>
    </row>
    <row r="26" customFormat="false" ht="15" hidden="false" customHeight="false" outlineLevel="0" collapsed="false">
      <c r="A26" s="40" t="n">
        <v>18</v>
      </c>
      <c r="B26" s="20" t="s">
        <v>230</v>
      </c>
      <c r="C26" s="11" t="s">
        <v>231</v>
      </c>
      <c r="D26" s="35" t="n">
        <f aca="false">Assumptions!$D$15*3</f>
        <v>150000</v>
      </c>
      <c r="E26" s="35" t="n">
        <f aca="false">Assumptions!$D$15*3</f>
        <v>150000</v>
      </c>
      <c r="F26" s="35" t="n">
        <f aca="false">Assumptions!$D$15*3</f>
        <v>150000</v>
      </c>
      <c r="G26" s="35" t="n">
        <f aca="false">Assumptions!$D$15*3</f>
        <v>150000</v>
      </c>
      <c r="H26" s="35" t="n">
        <f aca="false">Assumptions!$D$15*3</f>
        <v>150000</v>
      </c>
      <c r="I26" s="35" t="n">
        <f aca="false">Assumptions!$D$15*3</f>
        <v>150000</v>
      </c>
      <c r="J26" s="35" t="n">
        <f aca="false">Assumptions!$D$15*3</f>
        <v>150000</v>
      </c>
      <c r="K26" s="35" t="n">
        <f aca="false">Assumptions!$D$15*3</f>
        <v>150000</v>
      </c>
    </row>
    <row r="27" customFormat="false" ht="15" hidden="false" customHeight="false" outlineLevel="0" collapsed="false">
      <c r="A27" s="40" t="n">
        <v>19</v>
      </c>
      <c r="B27" s="16" t="s">
        <v>232</v>
      </c>
      <c r="C27" s="11" t="s">
        <v>231</v>
      </c>
      <c r="D27" s="48" t="n">
        <f aca="false">IF(D12&gt;0,D26+(D14+D17+D18)*100/D12,D26)</f>
        <v>155250</v>
      </c>
      <c r="E27" s="48" t="n">
        <f aca="false">IF(E12&gt;0,E26+(E14+E17+E18)*100/E12,E26)</f>
        <v>155347.619836321</v>
      </c>
      <c r="F27" s="48" t="n">
        <f aca="false">IF(F12&gt;0,F26+(F14+F17+F18)*100/F12,F26)</f>
        <v>155429.010609481</v>
      </c>
      <c r="G27" s="48" t="n">
        <f aca="false">IF(G12&gt;0,G26+(G14+G17+G18)*100/G12,G26)</f>
        <v>155533.008024935</v>
      </c>
      <c r="H27" s="48" t="n">
        <f aca="false">IF(H12&gt;0,H26+(H14+H17+H18)*100/H12,H26)</f>
        <v>155639.338236735</v>
      </c>
      <c r="I27" s="48" t="n">
        <f aca="false">IF(I12&gt;0,I26+(I14+I17+I18)*100/I12,I26)</f>
        <v>155725.829678905</v>
      </c>
      <c r="J27" s="48" t="n">
        <f aca="false">IF(J12&gt;0,J26+(J14+J17+J18)*100/J12,J26)</f>
        <v>155793.972392756</v>
      </c>
      <c r="K27" s="48" t="n">
        <f aca="false">IF(K12&gt;0,K26+(K14+K17+K18)*100/K12,K26)</f>
        <v>155880.936148895</v>
      </c>
    </row>
    <row r="28" customFormat="false" ht="15" hidden="false" customHeight="false" outlineLevel="0" collapsed="false">
      <c r="A28" s="40" t="n">
        <v>20</v>
      </c>
      <c r="B28" s="16" t="s">
        <v>233</v>
      </c>
      <c r="C28" s="11" t="s">
        <v>229</v>
      </c>
      <c r="D28" s="49" t="n">
        <f aca="false">IF(D26&gt;0,D27/D26-1,0)</f>
        <v>0.0349999999999999</v>
      </c>
      <c r="E28" s="49" t="n">
        <f aca="false">IF(E26&gt;0,E27/E26-1,0)</f>
        <v>0.0356507989088075</v>
      </c>
      <c r="F28" s="49" t="n">
        <f aca="false">IF(F26&gt;0,F27/F26-1,0)</f>
        <v>0.0361934040632055</v>
      </c>
      <c r="G28" s="49" t="n">
        <f aca="false">IF(G26&gt;0,G27/G26-1,0)</f>
        <v>0.0368867201662337</v>
      </c>
      <c r="H28" s="49" t="n">
        <f aca="false">IF(H26&gt;0,H27/H26-1,0)</f>
        <v>0.037595588244898</v>
      </c>
      <c r="I28" s="49" t="n">
        <f aca="false">IF(I26&gt;0,I27/I26-1,0)</f>
        <v>0.0381721978593677</v>
      </c>
      <c r="J28" s="49" t="n">
        <f aca="false">IF(J26&gt;0,J27/J26-1,0)</f>
        <v>0.038626482618374</v>
      </c>
      <c r="K28" s="49" t="n">
        <f aca="false">IF(K26&gt;0,K27/K26-1,0)</f>
        <v>0.0392062409926364</v>
      </c>
    </row>
    <row r="29" customFormat="false" ht="15" hidden="false" customHeight="false" outlineLevel="0" collapsed="false">
      <c r="A29" s="40" t="n">
        <v>21</v>
      </c>
      <c r="B29" s="20" t="s">
        <v>234</v>
      </c>
      <c r="C29" s="11" t="s">
        <v>186</v>
      </c>
      <c r="D29" s="23" t="n">
        <f aca="false">D13*Assumptions!$D$20/100</f>
        <v>0.0254468571428571</v>
      </c>
      <c r="E29" s="23" t="n">
        <f aca="false">E13*Assumptions!$D$20/100</f>
        <v>0.105572571428571</v>
      </c>
      <c r="F29" s="23" t="n">
        <f aca="false">F13*Assumptions!$D$20/100</f>
        <v>0.273394285714286</v>
      </c>
      <c r="G29" s="23" t="n">
        <f aca="false">G13*Assumptions!$D$20/100</f>
        <v>0.495</v>
      </c>
      <c r="H29" s="23" t="n">
        <f aca="false">H13*Assumptions!$D$20/100</f>
        <v>0.7308</v>
      </c>
      <c r="I29" s="23" t="n">
        <f aca="false">I13*Assumptions!$D$20/100</f>
        <v>0.980794285714286</v>
      </c>
      <c r="J29" s="23" t="n">
        <f aca="false">J13*Assumptions!$D$20/100</f>
        <v>1.24498285714286</v>
      </c>
      <c r="K29" s="23" t="n">
        <f aca="false">K13*Assumptions!$D$20/100</f>
        <v>1.44318857142857</v>
      </c>
      <c r="L29" s="43" t="n">
        <f aca="false">SUM(D29:K29)</f>
        <v>5.29917942857143</v>
      </c>
    </row>
    <row r="30" customFormat="false" ht="15" hidden="false" customHeight="false" outlineLevel="0" collapsed="false">
      <c r="A30" s="40" t="n">
        <v>22</v>
      </c>
      <c r="B30" s="20" t="s">
        <v>235</v>
      </c>
      <c r="C30" s="11" t="s">
        <v>186</v>
      </c>
      <c r="D30" s="23" t="n">
        <f aca="false">D12*Assumptions!$D$22*Assumptions!$D$21*3/100</f>
        <v>0.00245986285714286</v>
      </c>
      <c r="E30" s="23" t="n">
        <f aca="false">E12*Assumptions!$D$22*Assumptions!$D$21*3/100</f>
        <v>0.0102053485714286</v>
      </c>
      <c r="F30" s="23" t="n">
        <f aca="false">F12*Assumptions!$D$22*Assumptions!$D$21*3/100</f>
        <v>0.0264281142857143</v>
      </c>
      <c r="G30" s="23" t="n">
        <f aca="false">G12*Assumptions!$D$22*Assumptions!$D$21*3/100</f>
        <v>0.04785</v>
      </c>
      <c r="H30" s="23" t="n">
        <f aca="false">H12*Assumptions!$D$22*Assumptions!$D$21*3/100</f>
        <v>0.070644</v>
      </c>
      <c r="I30" s="23" t="n">
        <f aca="false">I12*Assumptions!$D$22*Assumptions!$D$21*3/100</f>
        <v>0.0948101142857143</v>
      </c>
      <c r="J30" s="23" t="n">
        <f aca="false">J12*Assumptions!$D$22*Assumptions!$D$21*3/100</f>
        <v>0.120348342857143</v>
      </c>
      <c r="K30" s="23" t="n">
        <f aca="false">K12*Assumptions!$D$22*Assumptions!$D$21*3/100</f>
        <v>0.139508228571429</v>
      </c>
      <c r="L30" s="43" t="n">
        <f aca="false">SUM(D30:K30)</f>
        <v>0.512254011428572</v>
      </c>
    </row>
    <row r="31" customFormat="false" ht="15" hidden="false" customHeight="false" outlineLevel="0" collapsed="false">
      <c r="A31" s="40" t="n">
        <v>23</v>
      </c>
      <c r="B31" s="20" t="s">
        <v>236</v>
      </c>
      <c r="C31" s="11" t="s">
        <v>186</v>
      </c>
      <c r="D31" s="23" t="n">
        <f aca="false">D21*Assumptions!$D$23</f>
        <v>0.00127234285714286</v>
      </c>
      <c r="E31" s="23" t="n">
        <f aca="false">E21*Assumptions!$D$23</f>
        <v>0.00545506011428572</v>
      </c>
      <c r="F31" s="23" t="n">
        <f aca="false">F21*Assumptions!$D$23</f>
        <v>0.0145414721828571</v>
      </c>
      <c r="G31" s="23" t="n">
        <f aca="false">G21*Assumptions!$D$23</f>
        <v>0.027343281024</v>
      </c>
      <c r="H31" s="23" t="n">
        <f aca="false">H21*Assumptions!$D$23</f>
        <v>0.0420671869001143</v>
      </c>
      <c r="I31" s="23" t="n">
        <f aca="false">I21*Assumptions!$D$23</f>
        <v>0.0586221247114972</v>
      </c>
      <c r="J31" s="23" t="n">
        <f aca="false">J21*Assumptions!$D$23</f>
        <v>0.0769723811126126</v>
      </c>
      <c r="K31" s="23" t="n">
        <f aca="false">K21*Assumptions!$D$23</f>
        <v>0.0931065966675676</v>
      </c>
      <c r="L31" s="43" t="n">
        <f aca="false">SUM(D31:K31)</f>
        <v>0.319380445570077</v>
      </c>
    </row>
    <row r="32" customFormat="false" ht="15" hidden="false" customHeight="false" outlineLevel="0" collapsed="false">
      <c r="A32" s="40" t="n">
        <v>24</v>
      </c>
      <c r="B32" s="20" t="s">
        <v>237</v>
      </c>
      <c r="C32" s="11" t="s">
        <v>186</v>
      </c>
      <c r="D32" s="23" t="n">
        <f aca="false">D19*Assumptions!$D$24*3/100</f>
        <v>0.000339291428571429</v>
      </c>
      <c r="E32" s="23" t="n">
        <f aca="false">E19*Assumptions!$D$24*3/100</f>
        <v>0.00174692571428571</v>
      </c>
      <c r="F32" s="23" t="n">
        <f aca="false">F19*Assumptions!$D$24*3/100</f>
        <v>0.00539218285714286</v>
      </c>
      <c r="G32" s="23" t="n">
        <f aca="false">G19*Assumptions!$D$24*3/100</f>
        <v>0.0119921828571429</v>
      </c>
      <c r="H32" s="23" t="n">
        <f aca="false">H19*Assumptions!$D$24*3/100</f>
        <v>0.0217361828571429</v>
      </c>
      <c r="I32" s="23" t="n">
        <f aca="false">I19*Assumptions!$D$24*3/100</f>
        <v>0.03481344</v>
      </c>
      <c r="J32" s="23" t="n">
        <f aca="false">J19*Assumptions!$D$24*3/100</f>
        <v>0.0514132114285714</v>
      </c>
      <c r="K32" s="23" t="n">
        <f aca="false">K19*Assumptions!$D$24*3/100</f>
        <v>0.0706557257142857</v>
      </c>
      <c r="L32" s="43" t="n">
        <f aca="false">SUM(D32:K32)</f>
        <v>0.198089142857143</v>
      </c>
    </row>
    <row r="33" customFormat="false" ht="15" hidden="false" customHeight="false" outlineLevel="0" collapsed="false">
      <c r="A33" s="40" t="n">
        <v>25</v>
      </c>
      <c r="B33" s="16" t="s">
        <v>238</v>
      </c>
      <c r="C33" s="11" t="s">
        <v>186</v>
      </c>
      <c r="D33" s="43" t="n">
        <f aca="false">SUM(D29:D32)</f>
        <v>0.0295183542857143</v>
      </c>
      <c r="E33" s="43" t="n">
        <f aca="false">SUM(E29:E32)</f>
        <v>0.122979905828571</v>
      </c>
      <c r="F33" s="43" t="n">
        <f aca="false">SUM(F29:F32)</f>
        <v>0.31975605504</v>
      </c>
      <c r="G33" s="43" t="n">
        <f aca="false">SUM(G29:G32)</f>
        <v>0.582185463881143</v>
      </c>
      <c r="H33" s="43" t="n">
        <f aca="false">SUM(H29:H32)</f>
        <v>0.865247369757257</v>
      </c>
      <c r="I33" s="43" t="n">
        <f aca="false">SUM(I29:I32)</f>
        <v>1.1690399647115</v>
      </c>
      <c r="J33" s="43" t="n">
        <f aca="false">SUM(J29:J32)</f>
        <v>1.49371679254118</v>
      </c>
      <c r="K33" s="43" t="n">
        <f aca="false">SUM(K29:K32)</f>
        <v>1.74645912238185</v>
      </c>
      <c r="L33" s="43" t="n">
        <f aca="false">SUM(D33:K33)</f>
        <v>6.32890302842722</v>
      </c>
    </row>
    <row r="34" customFormat="false" ht="15" hidden="false" customHeight="false" outlineLevel="0" collapsed="false">
      <c r="A34" s="40" t="n">
        <v>26</v>
      </c>
      <c r="B34" s="20" t="s">
        <v>239</v>
      </c>
      <c r="C34" s="11" t="s">
        <v>186</v>
      </c>
      <c r="D34" s="23" t="n">
        <f aca="false">D13*Assumptions!$D$26/100</f>
        <v>0.0169645714285714</v>
      </c>
      <c r="E34" s="23" t="n">
        <f aca="false">E13*Assumptions!$D$26/100</f>
        <v>0.0703817142857143</v>
      </c>
      <c r="F34" s="23" t="n">
        <f aca="false">F13*Assumptions!$D$26/100</f>
        <v>0.182262857142857</v>
      </c>
      <c r="G34" s="23" t="n">
        <f aca="false">G13*Assumptions!$D$26/100</f>
        <v>0.33</v>
      </c>
      <c r="H34" s="23" t="n">
        <f aca="false">H13*Assumptions!$D$26/100</f>
        <v>0.4872</v>
      </c>
      <c r="I34" s="23" t="n">
        <f aca="false">I13*Assumptions!$D$26/100</f>
        <v>0.653862857142857</v>
      </c>
      <c r="J34" s="23" t="n">
        <f aca="false">J13*Assumptions!$D$26/100</f>
        <v>0.829988571428571</v>
      </c>
      <c r="K34" s="23" t="n">
        <f aca="false">K13*Assumptions!$D$26/100</f>
        <v>0.962125714285715</v>
      </c>
      <c r="L34" s="43" t="n">
        <f aca="false">SUM(D34:K34)</f>
        <v>3.53278628571429</v>
      </c>
    </row>
    <row r="35" customFormat="false" ht="15" hidden="false" customHeight="false" outlineLevel="0" collapsed="false">
      <c r="A35" s="40" t="n">
        <v>27</v>
      </c>
      <c r="B35" s="20" t="s">
        <v>240</v>
      </c>
      <c r="C35" s="11" t="s">
        <v>186</v>
      </c>
      <c r="D35" s="23" t="n">
        <f aca="false">D12*Assumptions!$D$27*3/100+D12*Assumptions!$D$22*Assumptions!$D$28*3/100</f>
        <v>0.0275674285714286</v>
      </c>
      <c r="E35" s="23" t="n">
        <f aca="false">E12*Assumptions!$D$27*3/100+E12*Assumptions!$D$22*Assumptions!$D$28*3/100</f>
        <v>0.114370285714286</v>
      </c>
      <c r="F35" s="23" t="n">
        <f aca="false">F12*Assumptions!$D$27*3/100+F12*Assumptions!$D$22*Assumptions!$D$28*3/100</f>
        <v>0.296177142857143</v>
      </c>
      <c r="G35" s="23" t="n">
        <f aca="false">G12*Assumptions!$D$27*3/100+G12*Assumptions!$D$22*Assumptions!$D$28*3/100</f>
        <v>0.53625</v>
      </c>
      <c r="H35" s="23" t="n">
        <f aca="false">H12*Assumptions!$D$27*3/100+H12*Assumptions!$D$22*Assumptions!$D$28*3/100</f>
        <v>0.7917</v>
      </c>
      <c r="I35" s="23" t="n">
        <f aca="false">I12*Assumptions!$D$27*3/100+I12*Assumptions!$D$22*Assumptions!$D$28*3/100</f>
        <v>1.06252714285714</v>
      </c>
      <c r="J35" s="23" t="n">
        <f aca="false">J12*Assumptions!$D$27*3/100+J12*Assumptions!$D$22*Assumptions!$D$28*3/100</f>
        <v>1.34873142857143</v>
      </c>
      <c r="K35" s="23" t="n">
        <f aca="false">K12*Assumptions!$D$27*3/100+K12*Assumptions!$D$22*Assumptions!$D$28*3/100</f>
        <v>1.56345428571429</v>
      </c>
      <c r="L35" s="43" t="n">
        <f aca="false">SUM(D35:K35)</f>
        <v>5.74077771428572</v>
      </c>
    </row>
    <row r="36" customFormat="false" ht="15" hidden="false" customHeight="false" outlineLevel="0" collapsed="false">
      <c r="A36" s="40" t="n">
        <v>28</v>
      </c>
      <c r="B36" s="20" t="s">
        <v>241</v>
      </c>
      <c r="C36" s="11" t="s">
        <v>186</v>
      </c>
      <c r="D36" s="23" t="n">
        <f aca="false">D34+D35</f>
        <v>0.044532</v>
      </c>
      <c r="E36" s="23" t="n">
        <f aca="false">E34+E35</f>
        <v>0.184752</v>
      </c>
      <c r="F36" s="23" t="n">
        <f aca="false">F34+F35</f>
        <v>0.47844</v>
      </c>
      <c r="G36" s="23" t="n">
        <f aca="false">G34+G35</f>
        <v>0.86625</v>
      </c>
      <c r="H36" s="23" t="n">
        <f aca="false">H34+H35</f>
        <v>1.2789</v>
      </c>
      <c r="I36" s="23" t="n">
        <f aca="false">I34+I35</f>
        <v>1.71639</v>
      </c>
      <c r="J36" s="23" t="n">
        <f aca="false">J34+J35</f>
        <v>2.17872</v>
      </c>
      <c r="K36" s="23" t="n">
        <f aca="false">K34+K35</f>
        <v>2.52558</v>
      </c>
      <c r="L36" s="43" t="n">
        <f aca="false">SUM(D36:K36)</f>
        <v>9.273564</v>
      </c>
    </row>
    <row r="37" customFormat="false" ht="15" hidden="false" customHeight="false" outlineLevel="0" collapsed="false">
      <c r="A37" s="40" t="n">
        <v>29</v>
      </c>
      <c r="B37" s="16" t="s">
        <v>242</v>
      </c>
      <c r="C37" s="11" t="s">
        <v>186</v>
      </c>
      <c r="D37" s="43" t="n">
        <f aca="false">D33-D36</f>
        <v>-0.0150136457142857</v>
      </c>
      <c r="E37" s="43" t="n">
        <f aca="false">E33-E36</f>
        <v>-0.0617720941714286</v>
      </c>
      <c r="F37" s="43" t="n">
        <f aca="false">F33-F36</f>
        <v>-0.15868394496</v>
      </c>
      <c r="G37" s="43" t="n">
        <f aca="false">G33-G36</f>
        <v>-0.284064536118857</v>
      </c>
      <c r="H37" s="43" t="n">
        <f aca="false">H33-H36</f>
        <v>-0.413652630242743</v>
      </c>
      <c r="I37" s="43" t="n">
        <f aca="false">I33-I36</f>
        <v>-0.547350035288503</v>
      </c>
      <c r="J37" s="43" t="n">
        <f aca="false">J33-J36</f>
        <v>-0.685003207458816</v>
      </c>
      <c r="K37" s="43" t="n">
        <f aca="false">K33-K36</f>
        <v>-0.779120877618146</v>
      </c>
      <c r="L37" s="43" t="n">
        <f aca="false">SUM(D37:K37)</f>
        <v>-2.94466097157278</v>
      </c>
    </row>
    <row r="38" customFormat="false" ht="15" hidden="false" customHeight="false" outlineLevel="0" collapsed="false">
      <c r="A38" s="40" t="n">
        <v>30</v>
      </c>
      <c r="B38" s="20" t="s">
        <v>243</v>
      </c>
      <c r="C38" s="11" t="s">
        <v>186</v>
      </c>
      <c r="D38" s="23" t="n">
        <f aca="false">D13*Assumptions!$D$19/100</f>
        <v>0.212057142857143</v>
      </c>
      <c r="E38" s="23" t="n">
        <f aca="false">E13*Assumptions!$D$19/100</f>
        <v>0.879771428571429</v>
      </c>
      <c r="F38" s="23" t="n">
        <f aca="false">F13*Assumptions!$D$19/100</f>
        <v>2.27828571428571</v>
      </c>
      <c r="G38" s="23" t="n">
        <f aca="false">G13*Assumptions!$D$19/100</f>
        <v>4.125</v>
      </c>
      <c r="H38" s="23" t="n">
        <f aca="false">H13*Assumptions!$D$19/100</f>
        <v>6.09</v>
      </c>
      <c r="I38" s="23" t="n">
        <f aca="false">I13*Assumptions!$D$19/100</f>
        <v>8.17328571428572</v>
      </c>
      <c r="J38" s="23" t="n">
        <f aca="false">J13*Assumptions!$D$19/100</f>
        <v>10.3748571428571</v>
      </c>
      <c r="K38" s="23" t="n">
        <f aca="false">K13*Assumptions!$D$19/100</f>
        <v>12.0265714285714</v>
      </c>
      <c r="L38" s="43" t="n">
        <f aca="false">SUM(D38:K38)</f>
        <v>44.1598285714286</v>
      </c>
    </row>
    <row r="39" customFormat="false" ht="15" hidden="false" customHeight="false" outlineLevel="0" collapsed="false">
      <c r="A39" s="40" t="n">
        <v>31</v>
      </c>
      <c r="B39" s="20" t="s">
        <v>244</v>
      </c>
      <c r="C39" s="11" t="s">
        <v>186</v>
      </c>
      <c r="D39" s="23" t="n">
        <f aca="false">D38*Assumptions!$D$29</f>
        <v>0.00424114285714286</v>
      </c>
      <c r="E39" s="23" t="n">
        <f aca="false">E38*Assumptions!$D$29</f>
        <v>0.0175954285714286</v>
      </c>
      <c r="F39" s="23" t="n">
        <f aca="false">F38*Assumptions!$D$29</f>
        <v>0.0455657142857143</v>
      </c>
      <c r="G39" s="23" t="n">
        <f aca="false">G38*Assumptions!$D$29</f>
        <v>0.0825</v>
      </c>
      <c r="H39" s="23" t="n">
        <f aca="false">H38*Assumptions!$D$29</f>
        <v>0.1218</v>
      </c>
      <c r="I39" s="23" t="n">
        <f aca="false">I38*Assumptions!$D$29</f>
        <v>0.163465714285714</v>
      </c>
      <c r="J39" s="23" t="n">
        <f aca="false">J38*Assumptions!$D$29</f>
        <v>0.207497142857143</v>
      </c>
      <c r="K39" s="23" t="n">
        <f aca="false">K38*Assumptions!$D$29</f>
        <v>0.240531428571429</v>
      </c>
      <c r="L39" s="43" t="n">
        <f aca="false">SUM(D39:K39)</f>
        <v>0.883196571428572</v>
      </c>
    </row>
    <row r="40" customFormat="false" ht="15" hidden="false" customHeight="false" outlineLevel="0" collapsed="false">
      <c r="A40" s="40" t="n">
        <v>32</v>
      </c>
      <c r="B40" s="20" t="s">
        <v>245</v>
      </c>
      <c r="C40" s="11" t="s">
        <v>229</v>
      </c>
      <c r="D40" s="22" t="n">
        <f aca="false">D29/Baseline!$F$30</f>
        <v>0.000106472205618649</v>
      </c>
      <c r="E40" s="22" t="n">
        <f aca="false">E29/Baseline!$F$30</f>
        <v>0.00044172624028691</v>
      </c>
      <c r="F40" s="22" t="n">
        <f aca="false">F29/Baseline!$F$30</f>
        <v>0.00114390914524806</v>
      </c>
      <c r="G40" s="22" t="n">
        <f aca="false">G29/Baseline!$F$30</f>
        <v>0.00207112970711297</v>
      </c>
      <c r="H40" s="22" t="n">
        <f aca="false">H29/Baseline!$F$30</f>
        <v>0.00305774058577406</v>
      </c>
      <c r="I40" s="22" t="n">
        <f aca="false">I29/Baseline!$F$30</f>
        <v>0.00410374178123132</v>
      </c>
      <c r="J40" s="22" t="n">
        <f aca="false">J29/Baseline!$F$30</f>
        <v>0.00520913329348476</v>
      </c>
      <c r="K40" s="22" t="n">
        <f aca="false">K29/Baseline!$F$30</f>
        <v>0.00603844590555888</v>
      </c>
    </row>
    <row r="41" customFormat="false" ht="15" hidden="false" customHeight="false" outlineLevel="0" collapsed="false">
      <c r="A41" s="40" t="n">
        <v>33</v>
      </c>
      <c r="B41" s="20" t="s">
        <v>246</v>
      </c>
      <c r="C41" s="11" t="s">
        <v>62</v>
      </c>
      <c r="D41" s="33" t="n">
        <f aca="false">Assumptions!$D$9*(Assumptions!$D$20-Assumptions!$D$26)+Assumptions!$D$22*(Assumptions!$D$21-Assumptions!$D$28)-Assumptions!$D$27</f>
        <v>-9.8</v>
      </c>
      <c r="E41" s="33" t="n">
        <f aca="false">Assumptions!$D$9*(Assumptions!$D$20-Assumptions!$D$26)+Assumptions!$D$22*(Assumptions!$D$21-Assumptions!$D$28)-Assumptions!$D$27</f>
        <v>-9.8</v>
      </c>
      <c r="F41" s="33" t="n">
        <f aca="false">Assumptions!$D$9*(Assumptions!$D$20-Assumptions!$D$26)+Assumptions!$D$22*(Assumptions!$D$21-Assumptions!$D$28)-Assumptions!$D$27</f>
        <v>-9.8</v>
      </c>
      <c r="G41" s="33" t="n">
        <f aca="false">Assumptions!$D$9*(Assumptions!$D$20-Assumptions!$D$26)+Assumptions!$D$22*(Assumptions!$D$21-Assumptions!$D$28)-Assumptions!$D$27</f>
        <v>-9.8</v>
      </c>
      <c r="H41" s="33" t="n">
        <f aca="false">Assumptions!$D$9*(Assumptions!$D$20-Assumptions!$D$26)+Assumptions!$D$22*(Assumptions!$D$21-Assumptions!$D$28)-Assumptions!$D$27</f>
        <v>-9.8</v>
      </c>
      <c r="I41" s="33" t="n">
        <f aca="false">Assumptions!$D$9*(Assumptions!$D$20-Assumptions!$D$26)+Assumptions!$D$22*(Assumptions!$D$21-Assumptions!$D$28)-Assumptions!$D$27</f>
        <v>-9.8</v>
      </c>
      <c r="J41" s="33" t="n">
        <f aca="false">Assumptions!$D$9*(Assumptions!$D$20-Assumptions!$D$26)+Assumptions!$D$22*(Assumptions!$D$21-Assumptions!$D$28)-Assumptions!$D$27</f>
        <v>-9.8</v>
      </c>
      <c r="K41" s="33" t="n">
        <f aca="false">Assumptions!$D$9*(Assumptions!$D$20-Assumptions!$D$26)+Assumptions!$D$22*(Assumptions!$D$21-Assumptions!$D$28)-Assumptions!$D$27</f>
        <v>-9.8</v>
      </c>
    </row>
    <row r="42" customFormat="false" ht="15" hidden="false" customHeight="false" outlineLevel="0" collapsed="false">
      <c r="A42" s="40" t="n">
        <v>34</v>
      </c>
      <c r="B42" s="20" t="s">
        <v>247</v>
      </c>
      <c r="C42" s="11" t="s">
        <v>42</v>
      </c>
      <c r="D42" s="31" t="n">
        <f aca="false">IF(Assumptions!$D$20-Assumptions!$D$26&gt;0,MAX(0,(Assumptions!$D$27-Assumptions!$D$22*(Assumptions!$D$21-Assumptions!$D$28))/(Assumptions!$D$20-Assumptions!$D$26)),0)</f>
        <v>14.8</v>
      </c>
      <c r="E42" s="31" t="n">
        <f aca="false">IF(Assumptions!$D$20-Assumptions!$D$26&gt;0,MAX(0,(Assumptions!$D$27-Assumptions!$D$22*(Assumptions!$D$21-Assumptions!$D$28))/(Assumptions!$D$20-Assumptions!$D$26)),0)</f>
        <v>14.8</v>
      </c>
      <c r="F42" s="31" t="n">
        <f aca="false">IF(Assumptions!$D$20-Assumptions!$D$26&gt;0,MAX(0,(Assumptions!$D$27-Assumptions!$D$22*(Assumptions!$D$21-Assumptions!$D$28))/(Assumptions!$D$20-Assumptions!$D$26)),0)</f>
        <v>14.8</v>
      </c>
      <c r="G42" s="31" t="n">
        <f aca="false">IF(Assumptions!$D$20-Assumptions!$D$26&gt;0,MAX(0,(Assumptions!$D$27-Assumptions!$D$22*(Assumptions!$D$21-Assumptions!$D$28))/(Assumptions!$D$20-Assumptions!$D$26)),0)</f>
        <v>14.8</v>
      </c>
      <c r="H42" s="31" t="n">
        <f aca="false">IF(Assumptions!$D$20-Assumptions!$D$26&gt;0,MAX(0,(Assumptions!$D$27-Assumptions!$D$22*(Assumptions!$D$21-Assumptions!$D$28))/(Assumptions!$D$20-Assumptions!$D$26)),0)</f>
        <v>14.8</v>
      </c>
      <c r="I42" s="31" t="n">
        <f aca="false">IF(Assumptions!$D$20-Assumptions!$D$26&gt;0,MAX(0,(Assumptions!$D$27-Assumptions!$D$22*(Assumptions!$D$21-Assumptions!$D$28))/(Assumptions!$D$20-Assumptions!$D$26)),0)</f>
        <v>14.8</v>
      </c>
      <c r="J42" s="31" t="n">
        <f aca="false">IF(Assumptions!$D$20-Assumptions!$D$26&gt;0,MAX(0,(Assumptions!$D$27-Assumptions!$D$22*(Assumptions!$D$21-Assumptions!$D$28))/(Assumptions!$D$20-Assumptions!$D$26)),0)</f>
        <v>14.8</v>
      </c>
      <c r="K42" s="31" t="n">
        <f aca="false">IF(Assumptions!$D$20-Assumptions!$D$26&gt;0,MAX(0,(Assumptions!$D$27-Assumptions!$D$22*(Assumptions!$D$21-Assumptions!$D$28))/(Assumptions!$D$20-Assumptions!$D$26)),0)</f>
        <v>14.8</v>
      </c>
    </row>
    <row r="43" customFormat="false" ht="15" hidden="false" customHeight="false" outlineLevel="0" collapsed="false">
      <c r="A43" s="40" t="n">
        <v>35</v>
      </c>
      <c r="B43" s="20" t="s">
        <v>248</v>
      </c>
      <c r="C43" s="11" t="s">
        <v>249</v>
      </c>
      <c r="D43" s="35" t="n">
        <f aca="false">Assumptions!$D$19+Assumptions!$D$20</f>
        <v>28</v>
      </c>
      <c r="E43" s="35" t="n">
        <f aca="false">Assumptions!$D$19+Assumptions!$D$20</f>
        <v>28</v>
      </c>
      <c r="F43" s="35" t="n">
        <f aca="false">Assumptions!$D$19+Assumptions!$D$20</f>
        <v>28</v>
      </c>
      <c r="G43" s="35" t="n">
        <f aca="false">Assumptions!$D$19+Assumptions!$D$20</f>
        <v>28</v>
      </c>
      <c r="H43" s="35" t="n">
        <f aca="false">Assumptions!$D$19+Assumptions!$D$20</f>
        <v>28</v>
      </c>
      <c r="I43" s="35" t="n">
        <f aca="false">Assumptions!$D$19+Assumptions!$D$20</f>
        <v>28</v>
      </c>
      <c r="J43" s="35" t="n">
        <f aca="false">Assumptions!$D$19+Assumptions!$D$20</f>
        <v>28</v>
      </c>
      <c r="K43" s="35" t="n">
        <f aca="false">Assumptions!$D$19+Assumptions!$D$20</f>
        <v>28</v>
      </c>
    </row>
    <row r="44" customFormat="false" ht="15" hidden="false" customHeight="false" outlineLevel="0" collapsed="false">
      <c r="A44" s="40" t="n">
        <v>36</v>
      </c>
      <c r="B44" s="20" t="s">
        <v>250</v>
      </c>
      <c r="C44" s="11" t="s">
        <v>229</v>
      </c>
      <c r="D44" s="22" t="n">
        <f aca="false">(Assumptions!$D$19+Assumptions!$D$20)/Assumptions!$D$10</f>
        <v>0.112</v>
      </c>
      <c r="E44" s="22" t="n">
        <f aca="false">(Assumptions!$D$19+Assumptions!$D$20)/Assumptions!$D$10</f>
        <v>0.112</v>
      </c>
      <c r="F44" s="22" t="n">
        <f aca="false">(Assumptions!$D$19+Assumptions!$D$20)/Assumptions!$D$10</f>
        <v>0.112</v>
      </c>
      <c r="G44" s="22" t="n">
        <f aca="false">(Assumptions!$D$19+Assumptions!$D$20)/Assumptions!$D$10</f>
        <v>0.112</v>
      </c>
      <c r="H44" s="22" t="n">
        <f aca="false">(Assumptions!$D$19+Assumptions!$D$20)/Assumptions!$D$10</f>
        <v>0.112</v>
      </c>
      <c r="I44" s="22" t="n">
        <f aca="false">(Assumptions!$D$19+Assumptions!$D$20)/Assumptions!$D$10</f>
        <v>0.112</v>
      </c>
      <c r="J44" s="22" t="n">
        <f aca="false">(Assumptions!$D$19+Assumptions!$D$20)/Assumptions!$D$10</f>
        <v>0.112</v>
      </c>
      <c r="K44" s="22" t="n">
        <f aca="false">(Assumptions!$D$19+Assumptions!$D$20)/Assumptions!$D$10</f>
        <v>0.112</v>
      </c>
    </row>
    <row r="48" customFormat="false" ht="15" hidden="false" customHeight="false" outlineLevel="0" collapsed="false">
      <c r="A48" s="38" t="s">
        <v>251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customFormat="false" ht="15" hidden="false" customHeight="false" outlineLevel="0" collapsed="false">
      <c r="A49" s="40" t="n">
        <v>1</v>
      </c>
      <c r="B49" s="20" t="s">
        <v>211</v>
      </c>
      <c r="C49" s="11" t="s">
        <v>212</v>
      </c>
      <c r="D49" s="41" t="n">
        <f aca="false">Baseline!H15*100</f>
        <v>176.714285714286</v>
      </c>
      <c r="E49" s="41" t="n">
        <f aca="false">Baseline!H16*100</f>
        <v>183.285714285714</v>
      </c>
      <c r="F49" s="41" t="n">
        <f aca="false">Baseline!H17*100</f>
        <v>189.857142857143</v>
      </c>
      <c r="G49" s="41" t="n">
        <f aca="false">Baseline!H18*100</f>
        <v>196.428571428571</v>
      </c>
      <c r="H49" s="41" t="n">
        <f aca="false">Baseline!H19*100</f>
        <v>203</v>
      </c>
      <c r="I49" s="41" t="n">
        <f aca="false">Baseline!H20*100</f>
        <v>209.571428571429</v>
      </c>
      <c r="J49" s="41" t="n">
        <f aca="false">Baseline!H21*100</f>
        <v>216.142857142857</v>
      </c>
      <c r="K49" s="41" t="n">
        <f aca="false">Baseline!H22*100</f>
        <v>222.714285714286</v>
      </c>
    </row>
    <row r="50" customFormat="false" ht="15" hidden="false" customHeight="false" outlineLevel="0" collapsed="false">
      <c r="A50" s="40" t="n">
        <v>2</v>
      </c>
      <c r="B50" s="20" t="s">
        <v>213</v>
      </c>
      <c r="C50" s="11" t="s">
        <v>212</v>
      </c>
      <c r="D50" s="23" t="n">
        <f aca="false">D49*Assumptions!$E$6</f>
        <v>53.0142857142857</v>
      </c>
      <c r="E50" s="23" t="n">
        <f aca="false">E49*Assumptions!$E$6</f>
        <v>54.9857142857143</v>
      </c>
      <c r="F50" s="23" t="n">
        <f aca="false">F49*Assumptions!$E$6</f>
        <v>56.9571428571429</v>
      </c>
      <c r="G50" s="23" t="n">
        <f aca="false">G49*Assumptions!$E$6</f>
        <v>58.9285714285714</v>
      </c>
      <c r="H50" s="23" t="n">
        <f aca="false">H49*Assumptions!$E$6</f>
        <v>60.9</v>
      </c>
      <c r="I50" s="23" t="n">
        <f aca="false">I49*Assumptions!$E$6</f>
        <v>62.8714285714286</v>
      </c>
      <c r="J50" s="23" t="n">
        <f aca="false">J49*Assumptions!$E$6</f>
        <v>64.8428571428571</v>
      </c>
      <c r="K50" s="23" t="n">
        <f aca="false">K49*Assumptions!$E$6</f>
        <v>66.8142857142857</v>
      </c>
    </row>
    <row r="51" customFormat="false" ht="15" hidden="false" customHeight="false" outlineLevel="0" collapsed="false">
      <c r="A51" s="40" t="n">
        <v>3</v>
      </c>
      <c r="B51" s="20" t="s">
        <v>214</v>
      </c>
      <c r="C51" s="11" t="s">
        <v>118</v>
      </c>
      <c r="D51" s="42" t="n">
        <f aca="false">Assumptions!D$33</f>
        <v>0.02</v>
      </c>
      <c r="E51" s="42" t="n">
        <f aca="false">Assumptions!E$33</f>
        <v>0.08</v>
      </c>
      <c r="F51" s="42" t="n">
        <f aca="false">Assumptions!F$33</f>
        <v>0.2</v>
      </c>
      <c r="G51" s="42" t="n">
        <f aca="false">Assumptions!G$33</f>
        <v>0.35</v>
      </c>
      <c r="H51" s="42" t="n">
        <f aca="false">Assumptions!H$33</f>
        <v>0.5</v>
      </c>
      <c r="I51" s="42" t="n">
        <f aca="false">Assumptions!I$33</f>
        <v>0.65</v>
      </c>
      <c r="J51" s="42" t="n">
        <f aca="false">Assumptions!J$33</f>
        <v>0.8</v>
      </c>
      <c r="K51" s="42" t="n">
        <f aca="false">Assumptions!K$33</f>
        <v>0.9</v>
      </c>
    </row>
    <row r="52" customFormat="false" ht="15" hidden="false" customHeight="false" outlineLevel="0" collapsed="false">
      <c r="A52" s="40" t="n">
        <v>4</v>
      </c>
      <c r="B52" s="16" t="s">
        <v>215</v>
      </c>
      <c r="C52" s="11" t="s">
        <v>212</v>
      </c>
      <c r="D52" s="43" t="n">
        <f aca="false">D50*D51*Assumptions!$E$7</f>
        <v>0.159042857142857</v>
      </c>
      <c r="E52" s="43" t="n">
        <f aca="false">E50*E51*Assumptions!$E$7</f>
        <v>0.659828571428572</v>
      </c>
      <c r="F52" s="43" t="n">
        <f aca="false">F50*F51*Assumptions!$E$7</f>
        <v>1.70871428571429</v>
      </c>
      <c r="G52" s="43" t="n">
        <f aca="false">G50*G51*Assumptions!$E$7</f>
        <v>3.09375</v>
      </c>
      <c r="H52" s="43" t="n">
        <f aca="false">H50*H51*Assumptions!$E$7</f>
        <v>4.5675</v>
      </c>
      <c r="I52" s="43" t="n">
        <f aca="false">I50*I51*Assumptions!$E$7</f>
        <v>6.12996428571429</v>
      </c>
      <c r="J52" s="43" t="n">
        <f aca="false">J50*J51*Assumptions!$E$7</f>
        <v>7.78114285714286</v>
      </c>
      <c r="K52" s="43" t="n">
        <f aca="false">K50*K51*Assumptions!$E$7</f>
        <v>9.01992857142857</v>
      </c>
    </row>
    <row r="53" customFormat="false" ht="15" hidden="false" customHeight="false" outlineLevel="0" collapsed="false">
      <c r="A53" s="40" t="n">
        <v>5</v>
      </c>
      <c r="B53" s="20" t="s">
        <v>216</v>
      </c>
      <c r="C53" s="11" t="s">
        <v>212</v>
      </c>
      <c r="D53" s="23" t="n">
        <f aca="false">D52*Assumptions!$E$9*3</f>
        <v>4.77128571428571</v>
      </c>
      <c r="E53" s="23" t="n">
        <f aca="false">E52*Assumptions!$E$9*3</f>
        <v>19.7948571428571</v>
      </c>
      <c r="F53" s="23" t="n">
        <f aca="false">F52*Assumptions!$E$9*3</f>
        <v>51.2614285714286</v>
      </c>
      <c r="G53" s="23" t="n">
        <f aca="false">G52*Assumptions!$E$9*3</f>
        <v>92.8125</v>
      </c>
      <c r="H53" s="23" t="n">
        <f aca="false">H52*Assumptions!$E$9*3</f>
        <v>137.025</v>
      </c>
      <c r="I53" s="23" t="n">
        <f aca="false">I52*Assumptions!$E$9*3</f>
        <v>183.898928571429</v>
      </c>
      <c r="J53" s="23" t="n">
        <f aca="false">J52*Assumptions!$E$9*3</f>
        <v>233.434285714286</v>
      </c>
      <c r="K53" s="23" t="n">
        <f aca="false">K52*Assumptions!$E$9*3</f>
        <v>270.597857142857</v>
      </c>
      <c r="L53" s="43" t="n">
        <f aca="false">SUM(D53:K53)</f>
        <v>993.596142857143</v>
      </c>
    </row>
    <row r="54" customFormat="false" ht="15" hidden="false" customHeight="false" outlineLevel="0" collapsed="false">
      <c r="A54" s="40" t="n">
        <v>6</v>
      </c>
      <c r="B54" s="20" t="s">
        <v>217</v>
      </c>
      <c r="C54" s="11" t="s">
        <v>186</v>
      </c>
      <c r="D54" s="33" t="n">
        <f aca="false">D53*Assumptions!$E$10/100</f>
        <v>14.3138571428571</v>
      </c>
      <c r="E54" s="33" t="n">
        <f aca="false">E53*Assumptions!$E$10/100</f>
        <v>59.3845714285714</v>
      </c>
      <c r="F54" s="33" t="n">
        <f aca="false">F53*Assumptions!$E$10/100</f>
        <v>153.784285714286</v>
      </c>
      <c r="G54" s="33" t="n">
        <f aca="false">G53*Assumptions!$E$10/100</f>
        <v>278.4375</v>
      </c>
      <c r="H54" s="33" t="n">
        <f aca="false">H53*Assumptions!$E$10/100</f>
        <v>411.075</v>
      </c>
      <c r="I54" s="33" t="n">
        <f aca="false">I53*Assumptions!$E$10/100</f>
        <v>551.696785714286</v>
      </c>
      <c r="J54" s="33" t="n">
        <f aca="false">J53*Assumptions!$E$10/100</f>
        <v>700.302857142857</v>
      </c>
      <c r="K54" s="33" t="n">
        <f aca="false">K53*Assumptions!$E$10/100</f>
        <v>811.793571428572</v>
      </c>
      <c r="L54" s="44" t="n">
        <f aca="false">SUM(D54:K54)</f>
        <v>2980.78842857143</v>
      </c>
    </row>
    <row r="55" customFormat="false" ht="15" hidden="false" customHeight="false" outlineLevel="0" collapsed="false">
      <c r="A55" s="40" t="n">
        <v>7</v>
      </c>
      <c r="B55" s="20" t="s">
        <v>218</v>
      </c>
      <c r="C55" s="11" t="s">
        <v>212</v>
      </c>
      <c r="D55" s="23" t="n">
        <f aca="false">D53*Assumptions!$E$11</f>
        <v>0.954257142857143</v>
      </c>
      <c r="E55" s="23" t="n">
        <f aca="false">E53*Assumptions!$E$11</f>
        <v>3.95897142857143</v>
      </c>
      <c r="F55" s="23" t="n">
        <f aca="false">F53*Assumptions!$E$11</f>
        <v>10.2522857142857</v>
      </c>
      <c r="G55" s="23" t="n">
        <f aca="false">G53*Assumptions!$E$11</f>
        <v>18.5625</v>
      </c>
      <c r="H55" s="23" t="n">
        <f aca="false">H53*Assumptions!$E$11</f>
        <v>27.405</v>
      </c>
      <c r="I55" s="23" t="n">
        <f aca="false">I53*Assumptions!$E$11</f>
        <v>36.7797857142857</v>
      </c>
      <c r="J55" s="23" t="n">
        <f aca="false">J53*Assumptions!$E$11</f>
        <v>46.6868571428571</v>
      </c>
      <c r="K55" s="23" t="n">
        <f aca="false">K53*Assumptions!$E$11</f>
        <v>54.1195714285714</v>
      </c>
      <c r="L55" s="43" t="n">
        <f aca="false">SUM(D55:K55)</f>
        <v>198.719228571429</v>
      </c>
    </row>
    <row r="56" customFormat="false" ht="15" hidden="false" customHeight="false" outlineLevel="0" collapsed="false">
      <c r="A56" s="40" t="n">
        <v>8</v>
      </c>
      <c r="B56" s="20" t="s">
        <v>219</v>
      </c>
      <c r="C56" s="11" t="s">
        <v>212</v>
      </c>
      <c r="D56" s="23" t="n">
        <f aca="false">N(C56)*(1-Assumptions!$E$12)+D55</f>
        <v>0.954257142857143</v>
      </c>
      <c r="E56" s="23" t="n">
        <f aca="false">N(D56)*(1-Assumptions!$E$12)+E55</f>
        <v>4.62695142857143</v>
      </c>
      <c r="F56" s="23" t="n">
        <f aca="false">N(E56)*(1-Assumptions!$E$12)+F55</f>
        <v>13.4911517142857</v>
      </c>
      <c r="G56" s="23" t="n">
        <f aca="false">N(F56)*(1-Assumptions!$E$12)+G55</f>
        <v>28.0063062</v>
      </c>
      <c r="H56" s="23" t="n">
        <f aca="false">N(G56)*(1-Assumptions!$E$12)+H55</f>
        <v>47.00941434</v>
      </c>
      <c r="I56" s="23" t="n">
        <f aca="false">N(H56)*(1-Assumptions!$E$12)+I55</f>
        <v>69.6863757522857</v>
      </c>
      <c r="J56" s="23" t="n">
        <f aca="false">N(I56)*(1-Assumptions!$E$12)+J55</f>
        <v>95.4673201694571</v>
      </c>
      <c r="K56" s="23" t="n">
        <f aca="false">N(J56)*(1-Assumptions!$E$12)+K55</f>
        <v>120.946695547191</v>
      </c>
    </row>
    <row r="57" customFormat="false" ht="15" hidden="false" customHeight="false" outlineLevel="0" collapsed="false">
      <c r="A57" s="40" t="n">
        <v>9</v>
      </c>
      <c r="B57" s="20" t="s">
        <v>220</v>
      </c>
      <c r="C57" s="11" t="s">
        <v>186</v>
      </c>
      <c r="D57" s="33" t="n">
        <f aca="false">N(C56)*(1-Assumptions!$E$12)*Assumptions!$E$13/100</f>
        <v>0</v>
      </c>
      <c r="E57" s="33" t="n">
        <f aca="false">N(D56)*(1-Assumptions!$E$12)*Assumptions!$E$13/100</f>
        <v>4.00788</v>
      </c>
      <c r="F57" s="33" t="n">
        <f aca="false">N(E56)*(1-Assumptions!$E$12)*Assumptions!$E$13/100</f>
        <v>19.433196</v>
      </c>
      <c r="G57" s="33" t="n">
        <f aca="false">N(F56)*(1-Assumptions!$E$12)*Assumptions!$E$13/100</f>
        <v>56.6628372</v>
      </c>
      <c r="H57" s="33" t="n">
        <f aca="false">N(G56)*(1-Assumptions!$E$12)*Assumptions!$E$13/100</f>
        <v>117.62648604</v>
      </c>
      <c r="I57" s="33" t="n">
        <f aca="false">N(H56)*(1-Assumptions!$E$12)*Assumptions!$E$13/100</f>
        <v>197.439540228</v>
      </c>
      <c r="J57" s="33" t="n">
        <f aca="false">N(I56)*(1-Assumptions!$E$12)*Assumptions!$E$13/100</f>
        <v>292.6827781596</v>
      </c>
      <c r="K57" s="33" t="n">
        <f aca="false">N(J56)*(1-Assumptions!$E$12)*Assumptions!$E$13/100</f>
        <v>400.96274471172</v>
      </c>
      <c r="L57" s="44" t="n">
        <f aca="false">SUM(D57:K57)</f>
        <v>1088.81546233932</v>
      </c>
    </row>
    <row r="58" customFormat="false" ht="15" hidden="false" customHeight="false" outlineLevel="0" collapsed="false">
      <c r="A58" s="40" t="n">
        <v>10</v>
      </c>
      <c r="B58" s="20" t="s">
        <v>221</v>
      </c>
      <c r="C58" s="11" t="s">
        <v>186</v>
      </c>
      <c r="D58" s="33" t="n">
        <f aca="false">D52*Assumptions!$E$15*3*Assumptions!$E$16/100</f>
        <v>11.4510857142857</v>
      </c>
      <c r="E58" s="33" t="n">
        <f aca="false">E52*Assumptions!$E$15*3*Assumptions!$E$16/100</f>
        <v>47.5076571428571</v>
      </c>
      <c r="F58" s="33" t="n">
        <f aca="false">F52*Assumptions!$E$15*3*Assumptions!$E$16/100</f>
        <v>123.027428571429</v>
      </c>
      <c r="G58" s="33" t="n">
        <f aca="false">G52*Assumptions!$E$15*3*Assumptions!$E$16/100</f>
        <v>222.75</v>
      </c>
      <c r="H58" s="33" t="n">
        <f aca="false">H52*Assumptions!$E$15*3*Assumptions!$E$16/100</f>
        <v>328.86</v>
      </c>
      <c r="I58" s="33" t="n">
        <f aca="false">I52*Assumptions!$E$15*3*Assumptions!$E$16/100</f>
        <v>441.357428571429</v>
      </c>
      <c r="J58" s="33" t="n">
        <f aca="false">J52*Assumptions!$E$15*3*Assumptions!$E$16/100</f>
        <v>560.242285714286</v>
      </c>
      <c r="K58" s="33" t="n">
        <f aca="false">K52*Assumptions!$E$15*3*Assumptions!$E$16/100</f>
        <v>649.434857142857</v>
      </c>
      <c r="L58" s="44" t="n">
        <f aca="false">SUM(D58:K58)</f>
        <v>2384.63074285714</v>
      </c>
    </row>
    <row r="59" customFormat="false" ht="15" hidden="false" customHeight="false" outlineLevel="0" collapsed="false">
      <c r="A59" s="40" t="n">
        <v>11</v>
      </c>
      <c r="B59" s="20" t="s">
        <v>222</v>
      </c>
      <c r="C59" s="11" t="s">
        <v>212</v>
      </c>
      <c r="D59" s="23" t="n">
        <f aca="false">N(C59)+D52*Assumptions!$E$17/4</f>
        <v>0.000795214285714286</v>
      </c>
      <c r="E59" s="23" t="n">
        <f aca="false">N(D59)+E52*Assumptions!$E$17/4</f>
        <v>0.00409435714285714</v>
      </c>
      <c r="F59" s="23" t="n">
        <f aca="false">N(E59)+F52*Assumptions!$E$17/4</f>
        <v>0.0126379285714286</v>
      </c>
      <c r="G59" s="23" t="n">
        <f aca="false">N(F59)+G52*Assumptions!$E$17/4</f>
        <v>0.0281066785714286</v>
      </c>
      <c r="H59" s="23" t="n">
        <f aca="false">N(G59)+H52*Assumptions!$E$17/4</f>
        <v>0.0509441785714286</v>
      </c>
      <c r="I59" s="23" t="n">
        <f aca="false">N(H59)+I52*Assumptions!$E$17/4</f>
        <v>0.081594</v>
      </c>
      <c r="J59" s="23" t="n">
        <f aca="false">N(I59)+J52*Assumptions!$E$17/4</f>
        <v>0.120499714285714</v>
      </c>
      <c r="K59" s="23" t="n">
        <f aca="false">N(J59)+K52*Assumptions!$E$17/4</f>
        <v>0.165599357142857</v>
      </c>
    </row>
    <row r="60" customFormat="false" ht="15" hidden="false" customHeight="false" outlineLevel="0" collapsed="false">
      <c r="A60" s="40" t="n">
        <v>12</v>
      </c>
      <c r="B60" s="20" t="s">
        <v>223</v>
      </c>
      <c r="C60" s="11" t="s">
        <v>186</v>
      </c>
      <c r="D60" s="33" t="n">
        <f aca="false">D59*Assumptions!$E$15*3/100</f>
        <v>1.90851428571429</v>
      </c>
      <c r="E60" s="33" t="n">
        <f aca="false">E59*Assumptions!$E$15*3/100</f>
        <v>9.82645714285715</v>
      </c>
      <c r="F60" s="33" t="n">
        <f aca="false">F59*Assumptions!$E$15*3/100</f>
        <v>30.3310285714286</v>
      </c>
      <c r="G60" s="33" t="n">
        <f aca="false">G59*Assumptions!$E$15*3/100</f>
        <v>67.4560285714286</v>
      </c>
      <c r="H60" s="33" t="n">
        <f aca="false">H59*Assumptions!$E$15*3/100</f>
        <v>122.266028571429</v>
      </c>
      <c r="I60" s="33" t="n">
        <f aca="false">I59*Assumptions!$E$15*3/100</f>
        <v>195.8256</v>
      </c>
      <c r="J60" s="33" t="n">
        <f aca="false">J59*Assumptions!$E$15*3/100</f>
        <v>289.199314285714</v>
      </c>
      <c r="K60" s="33" t="n">
        <f aca="false">K59*Assumptions!$E$15*3/100</f>
        <v>397.438457142857</v>
      </c>
      <c r="L60" s="44" t="n">
        <f aca="false">SUM(D60:K60)</f>
        <v>1114.25142857143</v>
      </c>
    </row>
    <row r="61" customFormat="false" ht="15" hidden="false" customHeight="false" outlineLevel="0" collapsed="false">
      <c r="A61" s="40" t="n">
        <v>13</v>
      </c>
      <c r="B61" s="16" t="s">
        <v>224</v>
      </c>
      <c r="C61" s="11" t="s">
        <v>186</v>
      </c>
      <c r="D61" s="44" t="n">
        <f aca="false">D54+D57+D58+D60</f>
        <v>27.6734571428571</v>
      </c>
      <c r="E61" s="44" t="n">
        <f aca="false">E54+E57+E58+E60</f>
        <v>120.726565714286</v>
      </c>
      <c r="F61" s="44" t="n">
        <f aca="false">F54+F57+F58+F60</f>
        <v>326.575938857143</v>
      </c>
      <c r="G61" s="44" t="n">
        <f aca="false">G54+G57+G58+G60</f>
        <v>625.306365771429</v>
      </c>
      <c r="H61" s="44" t="n">
        <f aca="false">H54+H57+H58+H60</f>
        <v>979.827514611429</v>
      </c>
      <c r="I61" s="44" t="n">
        <f aca="false">I54+I57+I58+I60</f>
        <v>1386.31935451371</v>
      </c>
      <c r="J61" s="44" t="n">
        <f aca="false">J54+J57+J58+J60</f>
        <v>1842.42723530246</v>
      </c>
      <c r="K61" s="44" t="n">
        <f aca="false">K54+K57+K58+K60</f>
        <v>2259.62963042601</v>
      </c>
      <c r="L61" s="44" t="n">
        <f aca="false">SUM(D61:K61)</f>
        <v>7568.48606233932</v>
      </c>
    </row>
    <row r="62" customFormat="false" ht="15" hidden="false" customHeight="false" outlineLevel="0" collapsed="false">
      <c r="A62" s="40" t="n">
        <v>14</v>
      </c>
      <c r="B62" s="20" t="s">
        <v>224</v>
      </c>
      <c r="C62" s="11" t="s">
        <v>225</v>
      </c>
      <c r="D62" s="45" t="n">
        <f aca="false">D61/100000</f>
        <v>0.000276734571428571</v>
      </c>
      <c r="E62" s="45" t="n">
        <f aca="false">E61/100000</f>
        <v>0.00120726565714286</v>
      </c>
      <c r="F62" s="45" t="n">
        <f aca="false">F61/100000</f>
        <v>0.00326575938857143</v>
      </c>
      <c r="G62" s="45" t="n">
        <f aca="false">G61/100000</f>
        <v>0.00625306365771429</v>
      </c>
      <c r="H62" s="45" t="n">
        <f aca="false">H61/100000</f>
        <v>0.00979827514611429</v>
      </c>
      <c r="I62" s="45" t="n">
        <f aca="false">I61/100000</f>
        <v>0.0138631935451371</v>
      </c>
      <c r="J62" s="45" t="n">
        <f aca="false">J61/100000</f>
        <v>0.0184242723530246</v>
      </c>
      <c r="K62" s="45" t="n">
        <f aca="false">K61/100000</f>
        <v>0.0225962963042601</v>
      </c>
      <c r="L62" s="46" t="n">
        <f aca="false">SUM(D62:K62)</f>
        <v>0.0756848606233932</v>
      </c>
    </row>
    <row r="63" customFormat="false" ht="15" hidden="false" customHeight="false" outlineLevel="0" collapsed="false">
      <c r="A63" s="40" t="n">
        <v>15</v>
      </c>
      <c r="B63" s="20" t="s">
        <v>226</v>
      </c>
      <c r="C63" s="11" t="s">
        <v>225</v>
      </c>
      <c r="D63" s="41" t="n">
        <f aca="false">Baseline!E15</f>
        <v>7.94869047619048</v>
      </c>
      <c r="E63" s="41" t="n">
        <f aca="false">Baseline!E16</f>
        <v>8.29714285714286</v>
      </c>
      <c r="F63" s="41" t="n">
        <f aca="false">Baseline!E17</f>
        <v>8.64559523809524</v>
      </c>
      <c r="G63" s="41" t="n">
        <f aca="false">Baseline!E18</f>
        <v>8.99404761904762</v>
      </c>
      <c r="H63" s="41" t="n">
        <f aca="false">Baseline!E19</f>
        <v>9.3425</v>
      </c>
      <c r="I63" s="41" t="n">
        <f aca="false">Baseline!E20</f>
        <v>9.69095238095238</v>
      </c>
      <c r="J63" s="41" t="n">
        <f aca="false">Baseline!E21</f>
        <v>10.0394047619048</v>
      </c>
      <c r="K63" s="41" t="n">
        <f aca="false">Baseline!E22</f>
        <v>10.3878571428571</v>
      </c>
      <c r="L63" s="43" t="n">
        <f aca="false">SUM(D63:K63)</f>
        <v>73.3461904761905</v>
      </c>
    </row>
    <row r="64" customFormat="false" ht="15" hidden="false" customHeight="false" outlineLevel="0" collapsed="false">
      <c r="A64" s="40" t="n">
        <v>16</v>
      </c>
      <c r="B64" s="20" t="s">
        <v>227</v>
      </c>
      <c r="C64" s="11" t="s">
        <v>225</v>
      </c>
      <c r="D64" s="23" t="n">
        <f aca="false">D63+D62</f>
        <v>7.94896721076191</v>
      </c>
      <c r="E64" s="23" t="n">
        <f aca="false">E63+E62</f>
        <v>8.2983501228</v>
      </c>
      <c r="F64" s="23" t="n">
        <f aca="false">F63+F62</f>
        <v>8.64886099748381</v>
      </c>
      <c r="G64" s="23" t="n">
        <f aca="false">G63+G62</f>
        <v>9.00030068270533</v>
      </c>
      <c r="H64" s="23" t="n">
        <f aca="false">H63+H62</f>
        <v>9.35229827514611</v>
      </c>
      <c r="I64" s="23" t="n">
        <f aca="false">I63+I62</f>
        <v>9.70481557449752</v>
      </c>
      <c r="J64" s="23" t="n">
        <f aca="false">J63+J62</f>
        <v>10.0578290342578</v>
      </c>
      <c r="K64" s="23" t="n">
        <f aca="false">K63+K62</f>
        <v>10.4104534391614</v>
      </c>
      <c r="L64" s="43" t="n">
        <f aca="false">SUM(D64:K64)</f>
        <v>73.4218753368139</v>
      </c>
    </row>
    <row r="65" customFormat="false" ht="15" hidden="false" customHeight="false" outlineLevel="0" collapsed="false">
      <c r="A65" s="40" t="n">
        <v>17</v>
      </c>
      <c r="B65" s="20" t="s">
        <v>228</v>
      </c>
      <c r="C65" s="11" t="s">
        <v>229</v>
      </c>
      <c r="D65" s="47" t="n">
        <f aca="false">IF(D63&gt;0,D62/D63,0)</f>
        <v>3.48151147987839E-005</v>
      </c>
      <c r="E65" s="47" t="n">
        <f aca="false">IF(E63&gt;0,E62/E63,0)</f>
        <v>0.000145503780991736</v>
      </c>
      <c r="F65" s="47" t="n">
        <f aca="false">IF(F63&gt;0,F62/F63,0)</f>
        <v>0.000377736789501948</v>
      </c>
      <c r="G65" s="47" t="n">
        <f aca="false">IF(G63&gt;0,G62/G63,0)</f>
        <v>0.000695244668759762</v>
      </c>
      <c r="H65" s="47" t="n">
        <f aca="false">IF(H63&gt;0,H62/H63,0)</f>
        <v>0.00104878513739516</v>
      </c>
      <c r="I65" s="47" t="n">
        <f aca="false">IF(I63&gt;0,I62/I63,0)</f>
        <v>0.00143052952900536</v>
      </c>
      <c r="J65" s="47" t="n">
        <f aca="false">IF(J63&gt;0,J62/J63,0)</f>
        <v>0.00183519569037965</v>
      </c>
      <c r="K65" s="47" t="n">
        <f aca="false">IF(K63&gt;0,K62/K63,0)</f>
        <v>0.00217526059451035</v>
      </c>
    </row>
    <row r="66" customFormat="false" ht="15" hidden="false" customHeight="false" outlineLevel="0" collapsed="false">
      <c r="A66" s="40" t="n">
        <v>18</v>
      </c>
      <c r="B66" s="20" t="s">
        <v>230</v>
      </c>
      <c r="C66" s="11" t="s">
        <v>231</v>
      </c>
      <c r="D66" s="35" t="n">
        <f aca="false">Assumptions!$E$15*3</f>
        <v>240000</v>
      </c>
      <c r="E66" s="35" t="n">
        <f aca="false">Assumptions!$E$15*3</f>
        <v>240000</v>
      </c>
      <c r="F66" s="35" t="n">
        <f aca="false">Assumptions!$E$15*3</f>
        <v>240000</v>
      </c>
      <c r="G66" s="35" t="n">
        <f aca="false">Assumptions!$E$15*3</f>
        <v>240000</v>
      </c>
      <c r="H66" s="35" t="n">
        <f aca="false">Assumptions!$E$15*3</f>
        <v>240000</v>
      </c>
      <c r="I66" s="35" t="n">
        <f aca="false">Assumptions!$E$15*3</f>
        <v>240000</v>
      </c>
      <c r="J66" s="35" t="n">
        <f aca="false">Assumptions!$E$15*3</f>
        <v>240000</v>
      </c>
      <c r="K66" s="35" t="n">
        <f aca="false">Assumptions!$E$15*3</f>
        <v>240000</v>
      </c>
    </row>
    <row r="67" customFormat="false" ht="15" hidden="false" customHeight="false" outlineLevel="0" collapsed="false">
      <c r="A67" s="40" t="n">
        <v>19</v>
      </c>
      <c r="B67" s="16" t="s">
        <v>232</v>
      </c>
      <c r="C67" s="11" t="s">
        <v>231</v>
      </c>
      <c r="D67" s="48" t="n">
        <f aca="false">IF(D52&gt;0,D66+(D54+D57+D58)*100/D52,D66)</f>
        <v>256200</v>
      </c>
      <c r="E67" s="48" t="n">
        <f aca="false">IF(E52&gt;0,E66+(E54+E57+E58)*100/E52,E66)</f>
        <v>256807.412314887</v>
      </c>
      <c r="F67" s="48" t="n">
        <f aca="false">IF(F52&gt;0,F66+(F54+F57+F58)*100/F52,F66)</f>
        <v>257337.299322799</v>
      </c>
      <c r="G67" s="48" t="n">
        <f aca="false">IF(G52&gt;0,G66+(G54+G57+G58)*100/G52,G66)</f>
        <v>258031.526050909</v>
      </c>
      <c r="H67" s="48" t="n">
        <f aca="false">IF(H52&gt;0,H66+(H54+H57+H58)*100/H52,H66)</f>
        <v>258775.292524138</v>
      </c>
      <c r="I67" s="48" t="n">
        <f aca="false">IF(I52&gt;0,I66+(I54+I57+I58)*100/I52,I66)</f>
        <v>259420.892178575</v>
      </c>
      <c r="J67" s="48" t="n">
        <f aca="false">IF(J52&gt;0,J66+(J54+J57+J58)*100/J52,J66)</f>
        <v>259961.436893437</v>
      </c>
      <c r="K67" s="48" t="n">
        <f aca="false">IF(K52&gt;0,K66+(K54+K57+K58)*100/K52,K66)</f>
        <v>260645.298447061</v>
      </c>
    </row>
    <row r="68" customFormat="false" ht="15" hidden="false" customHeight="false" outlineLevel="0" collapsed="false">
      <c r="A68" s="40" t="n">
        <v>20</v>
      </c>
      <c r="B68" s="16" t="s">
        <v>233</v>
      </c>
      <c r="C68" s="11" t="s">
        <v>229</v>
      </c>
      <c r="D68" s="49" t="n">
        <f aca="false">IF(D66&gt;0,D67/D66-1,0)</f>
        <v>0.0674999999999999</v>
      </c>
      <c r="E68" s="49" t="n">
        <f aca="false">IF(E66&gt;0,E67/E66-1,0)</f>
        <v>0.0700308846453623</v>
      </c>
      <c r="F68" s="49" t="n">
        <f aca="false">IF(F66&gt;0,F67/F66-1,0)</f>
        <v>0.0722387471783297</v>
      </c>
      <c r="G68" s="49" t="n">
        <f aca="false">IF(G66&gt;0,G67/G66-1,0)</f>
        <v>0.0751313585454545</v>
      </c>
      <c r="H68" s="49" t="n">
        <f aca="false">IF(H66&gt;0,H67/H66-1,0)</f>
        <v>0.0782303855172415</v>
      </c>
      <c r="I68" s="49" t="n">
        <f aca="false">IF(I66&gt;0,I67/I66-1,0)</f>
        <v>0.0809203840773951</v>
      </c>
      <c r="J68" s="49" t="n">
        <f aca="false">IF(J66&gt;0,J67/J66-1,0)</f>
        <v>0.0831726537226536</v>
      </c>
      <c r="K68" s="49" t="n">
        <f aca="false">IF(K66&gt;0,K67/K66-1,0)</f>
        <v>0.0860220768627538</v>
      </c>
    </row>
    <row r="69" customFormat="false" ht="15" hidden="false" customHeight="false" outlineLevel="0" collapsed="false">
      <c r="A69" s="40" t="n">
        <v>21</v>
      </c>
      <c r="B69" s="20" t="s">
        <v>234</v>
      </c>
      <c r="C69" s="11" t="s">
        <v>186</v>
      </c>
      <c r="D69" s="23" t="n">
        <f aca="false">D53*Assumptions!$E$20/100</f>
        <v>0.190851428571429</v>
      </c>
      <c r="E69" s="23" t="n">
        <f aca="false">E53*Assumptions!$E$20/100</f>
        <v>0.791794285714286</v>
      </c>
      <c r="F69" s="23" t="n">
        <f aca="false">F53*Assumptions!$E$20/100</f>
        <v>2.05045714285714</v>
      </c>
      <c r="G69" s="23" t="n">
        <f aca="false">G53*Assumptions!$E$20/100</f>
        <v>3.7125</v>
      </c>
      <c r="H69" s="23" t="n">
        <f aca="false">H53*Assumptions!$E$20/100</f>
        <v>5.481</v>
      </c>
      <c r="I69" s="23" t="n">
        <f aca="false">I53*Assumptions!$E$20/100</f>
        <v>7.35595714285714</v>
      </c>
      <c r="J69" s="23" t="n">
        <f aca="false">J53*Assumptions!$E$20/100</f>
        <v>9.33737142857143</v>
      </c>
      <c r="K69" s="23" t="n">
        <f aca="false">K53*Assumptions!$E$20/100</f>
        <v>10.8239142857143</v>
      </c>
      <c r="L69" s="43" t="n">
        <f aca="false">SUM(D69:K69)</f>
        <v>39.7438457142857</v>
      </c>
    </row>
    <row r="70" customFormat="false" ht="15" hidden="false" customHeight="false" outlineLevel="0" collapsed="false">
      <c r="A70" s="40" t="n">
        <v>22</v>
      </c>
      <c r="B70" s="20" t="s">
        <v>235</v>
      </c>
      <c r="C70" s="11" t="s">
        <v>186</v>
      </c>
      <c r="D70" s="23" t="n">
        <f aca="false">D52*Assumptions!$E$22*Assumptions!$E$21*3/100</f>
        <v>0.0233793</v>
      </c>
      <c r="E70" s="23" t="n">
        <f aca="false">E52*Assumptions!$E$22*Assumptions!$E$21*3/100</f>
        <v>0.0969948</v>
      </c>
      <c r="F70" s="23" t="n">
        <f aca="false">F52*Assumptions!$E$22*Assumptions!$E$21*3/100</f>
        <v>0.251181</v>
      </c>
      <c r="G70" s="23" t="n">
        <f aca="false">G52*Assumptions!$E$22*Assumptions!$E$21*3/100</f>
        <v>0.45478125</v>
      </c>
      <c r="H70" s="23" t="n">
        <f aca="false">H52*Assumptions!$E$22*Assumptions!$E$21*3/100</f>
        <v>0.6714225</v>
      </c>
      <c r="I70" s="23" t="n">
        <f aca="false">I52*Assumptions!$E$22*Assumptions!$E$21*3/100</f>
        <v>0.90110475</v>
      </c>
      <c r="J70" s="23" t="n">
        <f aca="false">J52*Assumptions!$E$22*Assumptions!$E$21*3/100</f>
        <v>1.143828</v>
      </c>
      <c r="K70" s="23" t="n">
        <f aca="false">K52*Assumptions!$E$22*Assumptions!$E$21*3/100</f>
        <v>1.3259295</v>
      </c>
      <c r="L70" s="43" t="n">
        <f aca="false">SUM(D70:K70)</f>
        <v>4.8686211</v>
      </c>
    </row>
    <row r="71" customFormat="false" ht="15" hidden="false" customHeight="false" outlineLevel="0" collapsed="false">
      <c r="A71" s="40" t="n">
        <v>23</v>
      </c>
      <c r="B71" s="20" t="s">
        <v>236</v>
      </c>
      <c r="C71" s="11" t="s">
        <v>186</v>
      </c>
      <c r="D71" s="23" t="n">
        <f aca="false">D61*Assumptions!$E$23</f>
        <v>0.0110693828571429</v>
      </c>
      <c r="E71" s="23" t="n">
        <f aca="false">E61*Assumptions!$E$23</f>
        <v>0.0482906262857143</v>
      </c>
      <c r="F71" s="23" t="n">
        <f aca="false">F61*Assumptions!$E$23</f>
        <v>0.130630375542857</v>
      </c>
      <c r="G71" s="23" t="n">
        <f aca="false">G61*Assumptions!$E$23</f>
        <v>0.250122546308571</v>
      </c>
      <c r="H71" s="23" t="n">
        <f aca="false">H61*Assumptions!$E$23</f>
        <v>0.391931005844571</v>
      </c>
      <c r="I71" s="23" t="n">
        <f aca="false">I61*Assumptions!$E$23</f>
        <v>0.554527741805486</v>
      </c>
      <c r="J71" s="23" t="n">
        <f aca="false">J61*Assumptions!$E$23</f>
        <v>0.736970894120983</v>
      </c>
      <c r="K71" s="23" t="n">
        <f aca="false">K61*Assumptions!$E$23</f>
        <v>0.903851852170402</v>
      </c>
      <c r="L71" s="43" t="n">
        <f aca="false">SUM(D71:K71)</f>
        <v>3.02739442493573</v>
      </c>
    </row>
    <row r="72" customFormat="false" ht="15" hidden="false" customHeight="false" outlineLevel="0" collapsed="false">
      <c r="A72" s="40" t="n">
        <v>24</v>
      </c>
      <c r="B72" s="20" t="s">
        <v>237</v>
      </c>
      <c r="C72" s="11" t="s">
        <v>186</v>
      </c>
      <c r="D72" s="23" t="n">
        <f aca="false">D59*Assumptions!$E$24*3/100</f>
        <v>0.00214707857142857</v>
      </c>
      <c r="E72" s="23" t="n">
        <f aca="false">E59*Assumptions!$E$24*3/100</f>
        <v>0.0110547642857143</v>
      </c>
      <c r="F72" s="23" t="n">
        <f aca="false">F59*Assumptions!$E$24*3/100</f>
        <v>0.0341224071428571</v>
      </c>
      <c r="G72" s="23" t="n">
        <f aca="false">G59*Assumptions!$E$24*3/100</f>
        <v>0.0758880321428572</v>
      </c>
      <c r="H72" s="23" t="n">
        <f aca="false">H59*Assumptions!$E$24*3/100</f>
        <v>0.137549282142857</v>
      </c>
      <c r="I72" s="23" t="n">
        <f aca="false">I59*Assumptions!$E$24*3/100</f>
        <v>0.2203038</v>
      </c>
      <c r="J72" s="23" t="n">
        <f aca="false">J59*Assumptions!$E$24*3/100</f>
        <v>0.325349228571429</v>
      </c>
      <c r="K72" s="23" t="n">
        <f aca="false">K59*Assumptions!$E$24*3/100</f>
        <v>0.447118264285714</v>
      </c>
      <c r="L72" s="43" t="n">
        <f aca="false">SUM(D72:K72)</f>
        <v>1.25353285714286</v>
      </c>
    </row>
    <row r="73" customFormat="false" ht="15" hidden="false" customHeight="false" outlineLevel="0" collapsed="false">
      <c r="A73" s="40" t="n">
        <v>25</v>
      </c>
      <c r="B73" s="16" t="s">
        <v>238</v>
      </c>
      <c r="C73" s="11" t="s">
        <v>186</v>
      </c>
      <c r="D73" s="43" t="n">
        <f aca="false">SUM(D69:D72)</f>
        <v>0.22744719</v>
      </c>
      <c r="E73" s="43" t="n">
        <f aca="false">SUM(E69:E72)</f>
        <v>0.948134476285715</v>
      </c>
      <c r="F73" s="43" t="n">
        <f aca="false">SUM(F69:F72)</f>
        <v>2.46639092554286</v>
      </c>
      <c r="G73" s="43" t="n">
        <f aca="false">SUM(G69:G72)</f>
        <v>4.49329182845143</v>
      </c>
      <c r="H73" s="43" t="n">
        <f aca="false">SUM(H69:H72)</f>
        <v>6.68190278798743</v>
      </c>
      <c r="I73" s="43" t="n">
        <f aca="false">SUM(I69:I72)</f>
        <v>9.03189343466263</v>
      </c>
      <c r="J73" s="43" t="n">
        <f aca="false">SUM(J69:J72)</f>
        <v>11.5435195512638</v>
      </c>
      <c r="K73" s="43" t="n">
        <f aca="false">SUM(K69:K72)</f>
        <v>13.5008139021704</v>
      </c>
      <c r="L73" s="43" t="n">
        <f aca="false">SUM(D73:K73)</f>
        <v>48.8933940963643</v>
      </c>
    </row>
    <row r="74" customFormat="false" ht="15" hidden="false" customHeight="false" outlineLevel="0" collapsed="false">
      <c r="A74" s="40" t="n">
        <v>26</v>
      </c>
      <c r="B74" s="20" t="s">
        <v>239</v>
      </c>
      <c r="C74" s="11" t="s">
        <v>186</v>
      </c>
      <c r="D74" s="23" t="n">
        <f aca="false">D53*Assumptions!$E$26/100</f>
        <v>0.0477128571428571</v>
      </c>
      <c r="E74" s="23" t="n">
        <f aca="false">E53*Assumptions!$E$26/100</f>
        <v>0.197948571428571</v>
      </c>
      <c r="F74" s="23" t="n">
        <f aca="false">F53*Assumptions!$E$26/100</f>
        <v>0.512614285714286</v>
      </c>
      <c r="G74" s="23" t="n">
        <f aca="false">G53*Assumptions!$E$26/100</f>
        <v>0.928125</v>
      </c>
      <c r="H74" s="23" t="n">
        <f aca="false">H53*Assumptions!$E$26/100</f>
        <v>1.37025</v>
      </c>
      <c r="I74" s="23" t="n">
        <f aca="false">I53*Assumptions!$E$26/100</f>
        <v>1.83898928571429</v>
      </c>
      <c r="J74" s="23" t="n">
        <f aca="false">J53*Assumptions!$E$26/100</f>
        <v>2.33434285714286</v>
      </c>
      <c r="K74" s="23" t="n">
        <f aca="false">K53*Assumptions!$E$26/100</f>
        <v>2.70597857142857</v>
      </c>
      <c r="L74" s="43" t="n">
        <f aca="false">SUM(D74:K74)</f>
        <v>9.93596142857143</v>
      </c>
    </row>
    <row r="75" customFormat="false" ht="15" hidden="false" customHeight="false" outlineLevel="0" collapsed="false">
      <c r="A75" s="40" t="n">
        <v>27</v>
      </c>
      <c r="B75" s="20" t="s">
        <v>240</v>
      </c>
      <c r="C75" s="11" t="s">
        <v>186</v>
      </c>
      <c r="D75" s="23" t="n">
        <f aca="false">D52*Assumptions!$E$27*3/100+D52*Assumptions!$E$22*Assumptions!$E$28*3/100</f>
        <v>0.0453272142857143</v>
      </c>
      <c r="E75" s="23" t="n">
        <f aca="false">E52*Assumptions!$E$27*3/100+E52*Assumptions!$E$22*Assumptions!$E$28*3/100</f>
        <v>0.188051142857143</v>
      </c>
      <c r="F75" s="23" t="n">
        <f aca="false">F52*Assumptions!$E$27*3/100+F52*Assumptions!$E$22*Assumptions!$E$28*3/100</f>
        <v>0.486983571428571</v>
      </c>
      <c r="G75" s="23" t="n">
        <f aca="false">G52*Assumptions!$E$27*3/100+G52*Assumptions!$E$22*Assumptions!$E$28*3/100</f>
        <v>0.88171875</v>
      </c>
      <c r="H75" s="23" t="n">
        <f aca="false">H52*Assumptions!$E$27*3/100+H52*Assumptions!$E$22*Assumptions!$E$28*3/100</f>
        <v>1.3017375</v>
      </c>
      <c r="I75" s="23" t="n">
        <f aca="false">I52*Assumptions!$E$27*3/100+I52*Assumptions!$E$22*Assumptions!$E$28*3/100</f>
        <v>1.74703982142857</v>
      </c>
      <c r="J75" s="23" t="n">
        <f aca="false">J52*Assumptions!$E$27*3/100+J52*Assumptions!$E$22*Assumptions!$E$28*3/100</f>
        <v>2.21762571428571</v>
      </c>
      <c r="K75" s="23" t="n">
        <f aca="false">K52*Assumptions!$E$27*3/100+K52*Assumptions!$E$22*Assumptions!$E$28*3/100</f>
        <v>2.57067964285714</v>
      </c>
      <c r="L75" s="43" t="n">
        <f aca="false">SUM(D75:K75)</f>
        <v>9.43916335714286</v>
      </c>
    </row>
    <row r="76" customFormat="false" ht="15" hidden="false" customHeight="false" outlineLevel="0" collapsed="false">
      <c r="A76" s="40" t="n">
        <v>28</v>
      </c>
      <c r="B76" s="20" t="s">
        <v>241</v>
      </c>
      <c r="C76" s="11" t="s">
        <v>186</v>
      </c>
      <c r="D76" s="23" t="n">
        <f aca="false">D74+D75</f>
        <v>0.0930400714285714</v>
      </c>
      <c r="E76" s="23" t="n">
        <f aca="false">E74+E75</f>
        <v>0.385999714285714</v>
      </c>
      <c r="F76" s="23" t="n">
        <f aca="false">F74+F75</f>
        <v>0.999597857142857</v>
      </c>
      <c r="G76" s="23" t="n">
        <f aca="false">G74+G75</f>
        <v>1.80984375</v>
      </c>
      <c r="H76" s="23" t="n">
        <f aca="false">H74+H75</f>
        <v>2.6719875</v>
      </c>
      <c r="I76" s="23" t="n">
        <f aca="false">I74+I75</f>
        <v>3.58602910714286</v>
      </c>
      <c r="J76" s="23" t="n">
        <f aca="false">J74+J75</f>
        <v>4.55196857142857</v>
      </c>
      <c r="K76" s="23" t="n">
        <f aca="false">K74+K75</f>
        <v>5.27665821428572</v>
      </c>
      <c r="L76" s="43" t="n">
        <f aca="false">SUM(D76:K76)</f>
        <v>19.3751247857143</v>
      </c>
    </row>
    <row r="77" customFormat="false" ht="15" hidden="false" customHeight="false" outlineLevel="0" collapsed="false">
      <c r="A77" s="40" t="n">
        <v>29</v>
      </c>
      <c r="B77" s="16" t="s">
        <v>242</v>
      </c>
      <c r="C77" s="11" t="s">
        <v>186</v>
      </c>
      <c r="D77" s="43" t="n">
        <f aca="false">D73-D76</f>
        <v>0.134407118571429</v>
      </c>
      <c r="E77" s="43" t="n">
        <f aca="false">E73-E76</f>
        <v>0.562134762</v>
      </c>
      <c r="F77" s="43" t="n">
        <f aca="false">F73-F76</f>
        <v>1.4667930684</v>
      </c>
      <c r="G77" s="43" t="n">
        <f aca="false">G73-G76</f>
        <v>2.68344807845143</v>
      </c>
      <c r="H77" s="43" t="n">
        <f aca="false">H73-H76</f>
        <v>4.00991528798743</v>
      </c>
      <c r="I77" s="43" t="n">
        <f aca="false">I73-I76</f>
        <v>5.44586432751977</v>
      </c>
      <c r="J77" s="43" t="n">
        <f aca="false">J73-J76</f>
        <v>6.99155097983527</v>
      </c>
      <c r="K77" s="43" t="n">
        <f aca="false">K73-K76</f>
        <v>8.22415568788469</v>
      </c>
      <c r="L77" s="43" t="n">
        <f aca="false">SUM(D77:K77)</f>
        <v>29.51826931065</v>
      </c>
    </row>
    <row r="78" customFormat="false" ht="15" hidden="false" customHeight="false" outlineLevel="0" collapsed="false">
      <c r="A78" s="40" t="n">
        <v>30</v>
      </c>
      <c r="B78" s="20" t="s">
        <v>243</v>
      </c>
      <c r="C78" s="11" t="s">
        <v>186</v>
      </c>
      <c r="D78" s="23" t="n">
        <f aca="false">D53*Assumptions!$E$19/100</f>
        <v>1.43138571428571</v>
      </c>
      <c r="E78" s="23" t="n">
        <f aca="false">E53*Assumptions!$E$19/100</f>
        <v>5.93845714285714</v>
      </c>
      <c r="F78" s="23" t="n">
        <f aca="false">F53*Assumptions!$E$19/100</f>
        <v>15.3784285714286</v>
      </c>
      <c r="G78" s="23" t="n">
        <f aca="false">G53*Assumptions!$E$19/100</f>
        <v>27.84375</v>
      </c>
      <c r="H78" s="23" t="n">
        <f aca="false">H53*Assumptions!$E$19/100</f>
        <v>41.1075</v>
      </c>
      <c r="I78" s="23" t="n">
        <f aca="false">I53*Assumptions!$E$19/100</f>
        <v>55.1696785714286</v>
      </c>
      <c r="J78" s="23" t="n">
        <f aca="false">J53*Assumptions!$E$19/100</f>
        <v>70.0302857142857</v>
      </c>
      <c r="K78" s="23" t="n">
        <f aca="false">K53*Assumptions!$E$19/100</f>
        <v>81.1793571428571</v>
      </c>
      <c r="L78" s="43" t="n">
        <f aca="false">SUM(D78:K78)</f>
        <v>298.078842857143</v>
      </c>
    </row>
    <row r="79" customFormat="false" ht="15" hidden="false" customHeight="false" outlineLevel="0" collapsed="false">
      <c r="A79" s="40" t="n">
        <v>31</v>
      </c>
      <c r="B79" s="20" t="s">
        <v>244</v>
      </c>
      <c r="C79" s="11" t="s">
        <v>186</v>
      </c>
      <c r="D79" s="23" t="n">
        <f aca="false">D78*Assumptions!$E$29</f>
        <v>0.0715692857142857</v>
      </c>
      <c r="E79" s="23" t="n">
        <f aca="false">E78*Assumptions!$E$29</f>
        <v>0.296922857142857</v>
      </c>
      <c r="F79" s="23" t="n">
        <f aca="false">F78*Assumptions!$E$29</f>
        <v>0.768921428571429</v>
      </c>
      <c r="G79" s="23" t="n">
        <f aca="false">G78*Assumptions!$E$29</f>
        <v>1.3921875</v>
      </c>
      <c r="H79" s="23" t="n">
        <f aca="false">H78*Assumptions!$E$29</f>
        <v>2.055375</v>
      </c>
      <c r="I79" s="23" t="n">
        <f aca="false">I78*Assumptions!$E$29</f>
        <v>2.75848392857143</v>
      </c>
      <c r="J79" s="23" t="n">
        <f aca="false">J78*Assumptions!$E$29</f>
        <v>3.50151428571429</v>
      </c>
      <c r="K79" s="23" t="n">
        <f aca="false">K78*Assumptions!$E$29</f>
        <v>4.05896785714286</v>
      </c>
      <c r="L79" s="43" t="n">
        <f aca="false">SUM(D79:K79)</f>
        <v>14.9039421428571</v>
      </c>
    </row>
    <row r="80" customFormat="false" ht="15" hidden="false" customHeight="false" outlineLevel="0" collapsed="false">
      <c r="A80" s="40" t="n">
        <v>32</v>
      </c>
      <c r="B80" s="20" t="s">
        <v>245</v>
      </c>
      <c r="C80" s="11" t="s">
        <v>229</v>
      </c>
      <c r="D80" s="22" t="n">
        <f aca="false">D69/Baseline!$F$30</f>
        <v>0.000798541542139868</v>
      </c>
      <c r="E80" s="22" t="n">
        <f aca="false">E69/Baseline!$F$30</f>
        <v>0.00331294680215182</v>
      </c>
      <c r="F80" s="22" t="n">
        <f aca="false">F69/Baseline!$F$30</f>
        <v>0.00857931858936043</v>
      </c>
      <c r="G80" s="22" t="n">
        <f aca="false">G69/Baseline!$F$30</f>
        <v>0.0155334728033473</v>
      </c>
      <c r="H80" s="22" t="n">
        <f aca="false">H69/Baseline!$F$30</f>
        <v>0.0229330543933054</v>
      </c>
      <c r="I80" s="22" t="n">
        <f aca="false">I69/Baseline!$F$30</f>
        <v>0.0307780633592349</v>
      </c>
      <c r="J80" s="22" t="n">
        <f aca="false">J69/Baseline!$F$30</f>
        <v>0.0390684997011357</v>
      </c>
      <c r="K80" s="22" t="n">
        <f aca="false">K69/Baseline!$F$30</f>
        <v>0.0452883442916916</v>
      </c>
    </row>
    <row r="81" customFormat="false" ht="15" hidden="false" customHeight="false" outlineLevel="0" collapsed="false">
      <c r="A81" s="40" t="n">
        <v>33</v>
      </c>
      <c r="B81" s="20" t="s">
        <v>246</v>
      </c>
      <c r="C81" s="11" t="s">
        <v>62</v>
      </c>
      <c r="D81" s="33" t="n">
        <f aca="false">Assumptions!$E$9*(Assumptions!$E$20-Assumptions!$E$26)+Assumptions!$E$22*(Assumptions!$E$21-Assumptions!$E$28)-Assumptions!$E$27</f>
        <v>25.4</v>
      </c>
      <c r="E81" s="33" t="n">
        <f aca="false">Assumptions!$E$9*(Assumptions!$E$20-Assumptions!$E$26)+Assumptions!$E$22*(Assumptions!$E$21-Assumptions!$E$28)-Assumptions!$E$27</f>
        <v>25.4</v>
      </c>
      <c r="F81" s="33" t="n">
        <f aca="false">Assumptions!$E$9*(Assumptions!$E$20-Assumptions!$E$26)+Assumptions!$E$22*(Assumptions!$E$21-Assumptions!$E$28)-Assumptions!$E$27</f>
        <v>25.4</v>
      </c>
      <c r="G81" s="33" t="n">
        <f aca="false">Assumptions!$E$9*(Assumptions!$E$20-Assumptions!$E$26)+Assumptions!$E$22*(Assumptions!$E$21-Assumptions!$E$28)-Assumptions!$E$27</f>
        <v>25.4</v>
      </c>
      <c r="H81" s="33" t="n">
        <f aca="false">Assumptions!$E$9*(Assumptions!$E$20-Assumptions!$E$26)+Assumptions!$E$22*(Assumptions!$E$21-Assumptions!$E$28)-Assumptions!$E$27</f>
        <v>25.4</v>
      </c>
      <c r="I81" s="33" t="n">
        <f aca="false">Assumptions!$E$9*(Assumptions!$E$20-Assumptions!$E$26)+Assumptions!$E$22*(Assumptions!$E$21-Assumptions!$E$28)-Assumptions!$E$27</f>
        <v>25.4</v>
      </c>
      <c r="J81" s="33" t="n">
        <f aca="false">Assumptions!$E$9*(Assumptions!$E$20-Assumptions!$E$26)+Assumptions!$E$22*(Assumptions!$E$21-Assumptions!$E$28)-Assumptions!$E$27</f>
        <v>25.4</v>
      </c>
      <c r="K81" s="33" t="n">
        <f aca="false">Assumptions!$E$9*(Assumptions!$E$20-Assumptions!$E$26)+Assumptions!$E$22*(Assumptions!$E$21-Assumptions!$E$28)-Assumptions!$E$27</f>
        <v>25.4</v>
      </c>
    </row>
    <row r="82" customFormat="false" ht="15" hidden="false" customHeight="false" outlineLevel="0" collapsed="false">
      <c r="A82" s="40" t="n">
        <v>34</v>
      </c>
      <c r="B82" s="20" t="s">
        <v>247</v>
      </c>
      <c r="C82" s="11" t="s">
        <v>42</v>
      </c>
      <c r="D82" s="31" t="n">
        <f aca="false">IF(Assumptions!$E$20-Assumptions!$E$26&gt;0,MAX(0,(Assumptions!$E$27-Assumptions!$E$22*(Assumptions!$E$21-Assumptions!$E$28))/(Assumptions!$E$20-Assumptions!$E$26)),0)</f>
        <v>1.53333333333333</v>
      </c>
      <c r="E82" s="31" t="n">
        <f aca="false">IF(Assumptions!$E$20-Assumptions!$E$26&gt;0,MAX(0,(Assumptions!$E$27-Assumptions!$E$22*(Assumptions!$E$21-Assumptions!$E$28))/(Assumptions!$E$20-Assumptions!$E$26)),0)</f>
        <v>1.53333333333333</v>
      </c>
      <c r="F82" s="31" t="n">
        <f aca="false">IF(Assumptions!$E$20-Assumptions!$E$26&gt;0,MAX(0,(Assumptions!$E$27-Assumptions!$E$22*(Assumptions!$E$21-Assumptions!$E$28))/(Assumptions!$E$20-Assumptions!$E$26)),0)</f>
        <v>1.53333333333333</v>
      </c>
      <c r="G82" s="31" t="n">
        <f aca="false">IF(Assumptions!$E$20-Assumptions!$E$26&gt;0,MAX(0,(Assumptions!$E$27-Assumptions!$E$22*(Assumptions!$E$21-Assumptions!$E$28))/(Assumptions!$E$20-Assumptions!$E$26)),0)</f>
        <v>1.53333333333333</v>
      </c>
      <c r="H82" s="31" t="n">
        <f aca="false">IF(Assumptions!$E$20-Assumptions!$E$26&gt;0,MAX(0,(Assumptions!$E$27-Assumptions!$E$22*(Assumptions!$E$21-Assumptions!$E$28))/(Assumptions!$E$20-Assumptions!$E$26)),0)</f>
        <v>1.53333333333333</v>
      </c>
      <c r="I82" s="31" t="n">
        <f aca="false">IF(Assumptions!$E$20-Assumptions!$E$26&gt;0,MAX(0,(Assumptions!$E$27-Assumptions!$E$22*(Assumptions!$E$21-Assumptions!$E$28))/(Assumptions!$E$20-Assumptions!$E$26)),0)</f>
        <v>1.53333333333333</v>
      </c>
      <c r="J82" s="31" t="n">
        <f aca="false">IF(Assumptions!$E$20-Assumptions!$E$26&gt;0,MAX(0,(Assumptions!$E$27-Assumptions!$E$22*(Assumptions!$E$21-Assumptions!$E$28))/(Assumptions!$E$20-Assumptions!$E$26)),0)</f>
        <v>1.53333333333333</v>
      </c>
      <c r="K82" s="31" t="n">
        <f aca="false">IF(Assumptions!$E$20-Assumptions!$E$26&gt;0,MAX(0,(Assumptions!$E$27-Assumptions!$E$22*(Assumptions!$E$21-Assumptions!$E$28))/(Assumptions!$E$20-Assumptions!$E$26)),0)</f>
        <v>1.53333333333333</v>
      </c>
    </row>
    <row r="83" customFormat="false" ht="15" hidden="false" customHeight="false" outlineLevel="0" collapsed="false">
      <c r="A83" s="40" t="n">
        <v>35</v>
      </c>
      <c r="B83" s="20" t="s">
        <v>248</v>
      </c>
      <c r="C83" s="11" t="s">
        <v>249</v>
      </c>
      <c r="D83" s="35" t="n">
        <f aca="false">Assumptions!$E$19+Assumptions!$E$20</f>
        <v>34</v>
      </c>
      <c r="E83" s="35" t="n">
        <f aca="false">Assumptions!$E$19+Assumptions!$E$20</f>
        <v>34</v>
      </c>
      <c r="F83" s="35" t="n">
        <f aca="false">Assumptions!$E$19+Assumptions!$E$20</f>
        <v>34</v>
      </c>
      <c r="G83" s="35" t="n">
        <f aca="false">Assumptions!$E$19+Assumptions!$E$20</f>
        <v>34</v>
      </c>
      <c r="H83" s="35" t="n">
        <f aca="false">Assumptions!$E$19+Assumptions!$E$20</f>
        <v>34</v>
      </c>
      <c r="I83" s="35" t="n">
        <f aca="false">Assumptions!$E$19+Assumptions!$E$20</f>
        <v>34</v>
      </c>
      <c r="J83" s="35" t="n">
        <f aca="false">Assumptions!$E$19+Assumptions!$E$20</f>
        <v>34</v>
      </c>
      <c r="K83" s="35" t="n">
        <f aca="false">Assumptions!$E$19+Assumptions!$E$20</f>
        <v>34</v>
      </c>
    </row>
    <row r="84" customFormat="false" ht="15" hidden="false" customHeight="false" outlineLevel="0" collapsed="false">
      <c r="A84" s="40" t="n">
        <v>36</v>
      </c>
      <c r="B84" s="20" t="s">
        <v>250</v>
      </c>
      <c r="C84" s="11" t="s">
        <v>229</v>
      </c>
      <c r="D84" s="22" t="n">
        <f aca="false">(Assumptions!$E$19+Assumptions!$E$20)/Assumptions!$E$10</f>
        <v>0.113333333333333</v>
      </c>
      <c r="E84" s="22" t="n">
        <f aca="false">(Assumptions!$E$19+Assumptions!$E$20)/Assumptions!$E$10</f>
        <v>0.113333333333333</v>
      </c>
      <c r="F84" s="22" t="n">
        <f aca="false">(Assumptions!$E$19+Assumptions!$E$20)/Assumptions!$E$10</f>
        <v>0.113333333333333</v>
      </c>
      <c r="G84" s="22" t="n">
        <f aca="false">(Assumptions!$E$19+Assumptions!$E$20)/Assumptions!$E$10</f>
        <v>0.113333333333333</v>
      </c>
      <c r="H84" s="22" t="n">
        <f aca="false">(Assumptions!$E$19+Assumptions!$E$20)/Assumptions!$E$10</f>
        <v>0.113333333333333</v>
      </c>
      <c r="I84" s="22" t="n">
        <f aca="false">(Assumptions!$E$19+Assumptions!$E$20)/Assumptions!$E$10</f>
        <v>0.113333333333333</v>
      </c>
      <c r="J84" s="22" t="n">
        <f aca="false">(Assumptions!$E$19+Assumptions!$E$20)/Assumptions!$E$10</f>
        <v>0.113333333333333</v>
      </c>
      <c r="K84" s="22" t="n">
        <f aca="false">(Assumptions!$E$19+Assumptions!$E$20)/Assumptions!$E$10</f>
        <v>0.113333333333333</v>
      </c>
    </row>
    <row r="88" customFormat="false" ht="15" hidden="false" customHeight="false" outlineLevel="0" collapsed="false">
      <c r="A88" s="38" t="s">
        <v>252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</row>
    <row r="89" customFormat="false" ht="15" hidden="false" customHeight="false" outlineLevel="0" collapsed="false">
      <c r="A89" s="40" t="n">
        <v>1</v>
      </c>
      <c r="B89" s="20" t="s">
        <v>211</v>
      </c>
      <c r="C89" s="11" t="s">
        <v>212</v>
      </c>
      <c r="D89" s="41" t="n">
        <f aca="false">Baseline!H15*100</f>
        <v>176.714285714286</v>
      </c>
      <c r="E89" s="41" t="n">
        <f aca="false">Baseline!H16*100</f>
        <v>183.285714285714</v>
      </c>
      <c r="F89" s="41" t="n">
        <f aca="false">Baseline!H17*100</f>
        <v>189.857142857143</v>
      </c>
      <c r="G89" s="41" t="n">
        <f aca="false">Baseline!H18*100</f>
        <v>196.428571428571</v>
      </c>
      <c r="H89" s="41" t="n">
        <f aca="false">Baseline!H19*100</f>
        <v>203</v>
      </c>
      <c r="I89" s="41" t="n">
        <f aca="false">Baseline!H20*100</f>
        <v>209.571428571429</v>
      </c>
      <c r="J89" s="41" t="n">
        <f aca="false">Baseline!H21*100</f>
        <v>216.142857142857</v>
      </c>
      <c r="K89" s="41" t="n">
        <f aca="false">Baseline!H22*100</f>
        <v>222.714285714286</v>
      </c>
    </row>
    <row r="90" customFormat="false" ht="15" hidden="false" customHeight="false" outlineLevel="0" collapsed="false">
      <c r="A90" s="40" t="n">
        <v>2</v>
      </c>
      <c r="B90" s="20" t="s">
        <v>213</v>
      </c>
      <c r="C90" s="11" t="s">
        <v>212</v>
      </c>
      <c r="D90" s="23" t="n">
        <f aca="false">D89*Assumptions!$F$6</f>
        <v>70.6857142857143</v>
      </c>
      <c r="E90" s="23" t="n">
        <f aca="false">E89*Assumptions!$F$6</f>
        <v>73.3142857142857</v>
      </c>
      <c r="F90" s="23" t="n">
        <f aca="false">F89*Assumptions!$F$6</f>
        <v>75.9428571428572</v>
      </c>
      <c r="G90" s="23" t="n">
        <f aca="false">G89*Assumptions!$F$6</f>
        <v>78.5714285714286</v>
      </c>
      <c r="H90" s="23" t="n">
        <f aca="false">H89*Assumptions!$F$6</f>
        <v>81.2</v>
      </c>
      <c r="I90" s="23" t="n">
        <f aca="false">I89*Assumptions!$F$6</f>
        <v>83.8285714285714</v>
      </c>
      <c r="J90" s="23" t="n">
        <f aca="false">J89*Assumptions!$F$6</f>
        <v>86.4571428571429</v>
      </c>
      <c r="K90" s="23" t="n">
        <f aca="false">K89*Assumptions!$F$6</f>
        <v>89.0857142857143</v>
      </c>
    </row>
    <row r="91" customFormat="false" ht="15" hidden="false" customHeight="false" outlineLevel="0" collapsed="false">
      <c r="A91" s="40" t="n">
        <v>3</v>
      </c>
      <c r="B91" s="20" t="s">
        <v>214</v>
      </c>
      <c r="C91" s="11" t="s">
        <v>118</v>
      </c>
      <c r="D91" s="42" t="n">
        <f aca="false">Assumptions!D$33</f>
        <v>0.02</v>
      </c>
      <c r="E91" s="42" t="n">
        <f aca="false">Assumptions!E$33</f>
        <v>0.08</v>
      </c>
      <c r="F91" s="42" t="n">
        <f aca="false">Assumptions!F$33</f>
        <v>0.2</v>
      </c>
      <c r="G91" s="42" t="n">
        <f aca="false">Assumptions!G$33</f>
        <v>0.35</v>
      </c>
      <c r="H91" s="42" t="n">
        <f aca="false">Assumptions!H$33</f>
        <v>0.5</v>
      </c>
      <c r="I91" s="42" t="n">
        <f aca="false">Assumptions!I$33</f>
        <v>0.65</v>
      </c>
      <c r="J91" s="42" t="n">
        <f aca="false">Assumptions!J$33</f>
        <v>0.8</v>
      </c>
      <c r="K91" s="42" t="n">
        <f aca="false">Assumptions!K$33</f>
        <v>0.9</v>
      </c>
    </row>
    <row r="92" customFormat="false" ht="15" hidden="false" customHeight="false" outlineLevel="0" collapsed="false">
      <c r="A92" s="40" t="n">
        <v>4</v>
      </c>
      <c r="B92" s="16" t="s">
        <v>215</v>
      </c>
      <c r="C92" s="11" t="s">
        <v>212</v>
      </c>
      <c r="D92" s="43" t="n">
        <f aca="false">D90*D91*Assumptions!$F$7</f>
        <v>0.353428571428572</v>
      </c>
      <c r="E92" s="43" t="n">
        <f aca="false">E90*E91*Assumptions!$F$7</f>
        <v>1.46628571428571</v>
      </c>
      <c r="F92" s="43" t="n">
        <f aca="false">F90*F91*Assumptions!$F$7</f>
        <v>3.79714285714286</v>
      </c>
      <c r="G92" s="43" t="n">
        <f aca="false">G90*G91*Assumptions!$F$7</f>
        <v>6.875</v>
      </c>
      <c r="H92" s="43" t="n">
        <f aca="false">H90*H91*Assumptions!$F$7</f>
        <v>10.15</v>
      </c>
      <c r="I92" s="43" t="n">
        <f aca="false">I90*I91*Assumptions!$F$7</f>
        <v>13.6221428571429</v>
      </c>
      <c r="J92" s="43" t="n">
        <f aca="false">J90*J91*Assumptions!$F$7</f>
        <v>17.2914285714286</v>
      </c>
      <c r="K92" s="43" t="n">
        <f aca="false">K90*K91*Assumptions!$F$7</f>
        <v>20.0442857142857</v>
      </c>
    </row>
    <row r="93" customFormat="false" ht="15" hidden="false" customHeight="false" outlineLevel="0" collapsed="false">
      <c r="A93" s="40" t="n">
        <v>5</v>
      </c>
      <c r="B93" s="20" t="s">
        <v>216</v>
      </c>
      <c r="C93" s="11" t="s">
        <v>212</v>
      </c>
      <c r="D93" s="23" t="n">
        <f aca="false">D92*Assumptions!$F$9*3</f>
        <v>15.9042857142857</v>
      </c>
      <c r="E93" s="23" t="n">
        <f aca="false">E92*Assumptions!$F$9*3</f>
        <v>65.9828571428572</v>
      </c>
      <c r="F93" s="23" t="n">
        <f aca="false">F92*Assumptions!$F$9*3</f>
        <v>170.871428571429</v>
      </c>
      <c r="G93" s="23" t="n">
        <f aca="false">G92*Assumptions!$F$9*3</f>
        <v>309.375</v>
      </c>
      <c r="H93" s="23" t="n">
        <f aca="false">H92*Assumptions!$F$9*3</f>
        <v>456.75</v>
      </c>
      <c r="I93" s="23" t="n">
        <f aca="false">I92*Assumptions!$F$9*3</f>
        <v>612.996428571429</v>
      </c>
      <c r="J93" s="23" t="n">
        <f aca="false">J92*Assumptions!$F$9*3</f>
        <v>778.114285714286</v>
      </c>
      <c r="K93" s="23" t="n">
        <f aca="false">K92*Assumptions!$F$9*3</f>
        <v>901.992857142857</v>
      </c>
      <c r="L93" s="43" t="n">
        <f aca="false">SUM(D93:K93)</f>
        <v>3311.98714285714</v>
      </c>
    </row>
    <row r="94" customFormat="false" ht="15" hidden="false" customHeight="false" outlineLevel="0" collapsed="false">
      <c r="A94" s="40" t="n">
        <v>6</v>
      </c>
      <c r="B94" s="20" t="s">
        <v>217</v>
      </c>
      <c r="C94" s="11" t="s">
        <v>186</v>
      </c>
      <c r="D94" s="33" t="n">
        <f aca="false">D93*Assumptions!$F$10/100</f>
        <v>55.665</v>
      </c>
      <c r="E94" s="33" t="n">
        <f aca="false">E93*Assumptions!$F$10/100</f>
        <v>230.94</v>
      </c>
      <c r="F94" s="33" t="n">
        <f aca="false">F93*Assumptions!$F$10/100</f>
        <v>598.05</v>
      </c>
      <c r="G94" s="33" t="n">
        <f aca="false">G93*Assumptions!$F$10/100</f>
        <v>1082.8125</v>
      </c>
      <c r="H94" s="33" t="n">
        <f aca="false">H93*Assumptions!$F$10/100</f>
        <v>1598.625</v>
      </c>
      <c r="I94" s="33" t="n">
        <f aca="false">I93*Assumptions!$F$10/100</f>
        <v>2145.4875</v>
      </c>
      <c r="J94" s="33" t="n">
        <f aca="false">J93*Assumptions!$F$10/100</f>
        <v>2723.4</v>
      </c>
      <c r="K94" s="33" t="n">
        <f aca="false">K93*Assumptions!$F$10/100</f>
        <v>3156.975</v>
      </c>
      <c r="L94" s="44" t="n">
        <f aca="false">SUM(D94:K94)</f>
        <v>11591.955</v>
      </c>
    </row>
    <row r="95" customFormat="false" ht="15" hidden="false" customHeight="false" outlineLevel="0" collapsed="false">
      <c r="A95" s="40" t="n">
        <v>7</v>
      </c>
      <c r="B95" s="20" t="s">
        <v>218</v>
      </c>
      <c r="C95" s="11" t="s">
        <v>212</v>
      </c>
      <c r="D95" s="23" t="n">
        <f aca="false">D93*Assumptions!$F$11</f>
        <v>4.77128571428572</v>
      </c>
      <c r="E95" s="23" t="n">
        <f aca="false">E93*Assumptions!$F$11</f>
        <v>19.7948571428571</v>
      </c>
      <c r="F95" s="23" t="n">
        <f aca="false">F93*Assumptions!$F$11</f>
        <v>51.2614285714286</v>
      </c>
      <c r="G95" s="23" t="n">
        <f aca="false">G93*Assumptions!$F$11</f>
        <v>92.8125</v>
      </c>
      <c r="H95" s="23" t="n">
        <f aca="false">H93*Assumptions!$F$11</f>
        <v>137.025</v>
      </c>
      <c r="I95" s="23" t="n">
        <f aca="false">I93*Assumptions!$F$11</f>
        <v>183.898928571429</v>
      </c>
      <c r="J95" s="23" t="n">
        <f aca="false">J93*Assumptions!$F$11</f>
        <v>233.434285714286</v>
      </c>
      <c r="K95" s="23" t="n">
        <f aca="false">K93*Assumptions!$F$11</f>
        <v>270.597857142857</v>
      </c>
      <c r="L95" s="43" t="n">
        <f aca="false">SUM(D95:K95)</f>
        <v>993.596142857143</v>
      </c>
    </row>
    <row r="96" customFormat="false" ht="15" hidden="false" customHeight="false" outlineLevel="0" collapsed="false">
      <c r="A96" s="40" t="n">
        <v>8</v>
      </c>
      <c r="B96" s="20" t="s">
        <v>219</v>
      </c>
      <c r="C96" s="11" t="s">
        <v>212</v>
      </c>
      <c r="D96" s="23" t="n">
        <f aca="false">N(C96)*(1-Assumptions!$F$12)+D95</f>
        <v>4.77128571428572</v>
      </c>
      <c r="E96" s="23" t="n">
        <f aca="false">N(D96)*(1-Assumptions!$F$12)+E95</f>
        <v>23.6118857142857</v>
      </c>
      <c r="F96" s="23" t="n">
        <f aca="false">N(E96)*(1-Assumptions!$F$12)+F95</f>
        <v>70.1509371428572</v>
      </c>
      <c r="G96" s="23" t="n">
        <f aca="false">N(F96)*(1-Assumptions!$F$12)+G95</f>
        <v>148.933249714286</v>
      </c>
      <c r="H96" s="23" t="n">
        <f aca="false">N(G96)*(1-Assumptions!$F$12)+H95</f>
        <v>256.171599771429</v>
      </c>
      <c r="I96" s="23" t="n">
        <f aca="false">N(H96)*(1-Assumptions!$F$12)+I95</f>
        <v>388.836208388572</v>
      </c>
      <c r="J96" s="23" t="n">
        <f aca="false">N(I96)*(1-Assumptions!$F$12)+J95</f>
        <v>544.503252425143</v>
      </c>
      <c r="K96" s="23" t="n">
        <f aca="false">N(J96)*(1-Assumptions!$F$12)+K95</f>
        <v>706.200459082972</v>
      </c>
    </row>
    <row r="97" customFormat="false" ht="15" hidden="false" customHeight="false" outlineLevel="0" collapsed="false">
      <c r="A97" s="40" t="n">
        <v>9</v>
      </c>
      <c r="B97" s="20" t="s">
        <v>220</v>
      </c>
      <c r="C97" s="11" t="s">
        <v>186</v>
      </c>
      <c r="D97" s="33" t="n">
        <f aca="false">N(C96)*(1-Assumptions!$F$12)*Assumptions!$F$13/100</f>
        <v>0</v>
      </c>
      <c r="E97" s="33" t="n">
        <f aca="false">N(D96)*(1-Assumptions!$F$12)*Assumptions!$F$13/100</f>
        <v>28.6277142857143</v>
      </c>
      <c r="F97" s="33" t="n">
        <f aca="false">N(E96)*(1-Assumptions!$F$12)*Assumptions!$F$13/100</f>
        <v>141.671314285714</v>
      </c>
      <c r="G97" s="33" t="n">
        <f aca="false">N(F96)*(1-Assumptions!$F$12)*Assumptions!$F$13/100</f>
        <v>420.905622857143</v>
      </c>
      <c r="H97" s="33" t="n">
        <f aca="false">N(G96)*(1-Assumptions!$F$12)*Assumptions!$F$13/100</f>
        <v>893.599498285715</v>
      </c>
      <c r="I97" s="33" t="n">
        <f aca="false">N(H96)*(1-Assumptions!$F$12)*Assumptions!$F$13/100</f>
        <v>1537.02959862857</v>
      </c>
      <c r="J97" s="33" t="n">
        <f aca="false">N(I96)*(1-Assumptions!$F$12)*Assumptions!$F$13/100</f>
        <v>2333.01725033143</v>
      </c>
      <c r="K97" s="33" t="n">
        <f aca="false">N(J96)*(1-Assumptions!$F$12)*Assumptions!$F$13/100</f>
        <v>3267.01951455086</v>
      </c>
      <c r="L97" s="44" t="n">
        <f aca="false">SUM(D97:K97)</f>
        <v>8621.87051322515</v>
      </c>
    </row>
    <row r="98" customFormat="false" ht="15" hidden="false" customHeight="false" outlineLevel="0" collapsed="false">
      <c r="A98" s="40" t="n">
        <v>10</v>
      </c>
      <c r="B98" s="20" t="s">
        <v>221</v>
      </c>
      <c r="C98" s="11" t="s">
        <v>186</v>
      </c>
      <c r="D98" s="33" t="n">
        <f aca="false">D92*Assumptions!$F$15*3*Assumptions!$F$16/100</f>
        <v>63.6171428571429</v>
      </c>
      <c r="E98" s="33" t="n">
        <f aca="false">E92*Assumptions!$F$15*3*Assumptions!$F$16/100</f>
        <v>263.931428571429</v>
      </c>
      <c r="F98" s="33" t="n">
        <f aca="false">F92*Assumptions!$F$15*3*Assumptions!$F$16/100</f>
        <v>683.485714285714</v>
      </c>
      <c r="G98" s="33" t="n">
        <f aca="false">G92*Assumptions!$F$15*3*Assumptions!$F$16/100</f>
        <v>1237.5</v>
      </c>
      <c r="H98" s="33" t="n">
        <f aca="false">H92*Assumptions!$F$15*3*Assumptions!$F$16/100</f>
        <v>1827</v>
      </c>
      <c r="I98" s="33" t="n">
        <f aca="false">I92*Assumptions!$F$15*3*Assumptions!$F$16/100</f>
        <v>2451.98571428571</v>
      </c>
      <c r="J98" s="33" t="n">
        <f aca="false">J92*Assumptions!$F$15*3*Assumptions!$F$16/100</f>
        <v>3112.45714285714</v>
      </c>
      <c r="K98" s="33" t="n">
        <f aca="false">K92*Assumptions!$F$15*3*Assumptions!$F$16/100</f>
        <v>3607.97142857143</v>
      </c>
      <c r="L98" s="44" t="n">
        <f aca="false">SUM(D98:K98)</f>
        <v>13247.9485714286</v>
      </c>
    </row>
    <row r="99" customFormat="false" ht="15" hidden="false" customHeight="false" outlineLevel="0" collapsed="false">
      <c r="A99" s="40" t="n">
        <v>11</v>
      </c>
      <c r="B99" s="20" t="s">
        <v>222</v>
      </c>
      <c r="C99" s="11" t="s">
        <v>212</v>
      </c>
      <c r="D99" s="23" t="n">
        <f aca="false">N(C99)+D92*Assumptions!$F$17/4</f>
        <v>0.00353428571428572</v>
      </c>
      <c r="E99" s="23" t="n">
        <f aca="false">N(D99)+E92*Assumptions!$F$17/4</f>
        <v>0.0181971428571429</v>
      </c>
      <c r="F99" s="23" t="n">
        <f aca="false">N(E99)+F92*Assumptions!$F$17/4</f>
        <v>0.0561685714285714</v>
      </c>
      <c r="G99" s="23" t="n">
        <f aca="false">N(F99)+G92*Assumptions!$F$17/4</f>
        <v>0.124918571428571</v>
      </c>
      <c r="H99" s="23" t="n">
        <f aca="false">N(G99)+H92*Assumptions!$F$17/4</f>
        <v>0.226418571428571</v>
      </c>
      <c r="I99" s="23" t="n">
        <f aca="false">N(H99)+I92*Assumptions!$F$17/4</f>
        <v>0.36264</v>
      </c>
      <c r="J99" s="23" t="n">
        <f aca="false">N(I99)+J92*Assumptions!$F$17/4</f>
        <v>0.535554285714286</v>
      </c>
      <c r="K99" s="23" t="n">
        <f aca="false">N(J99)+K92*Assumptions!$F$17/4</f>
        <v>0.735997142857143</v>
      </c>
    </row>
    <row r="100" customFormat="false" ht="15" hidden="false" customHeight="false" outlineLevel="0" collapsed="false">
      <c r="A100" s="40" t="n">
        <v>12</v>
      </c>
      <c r="B100" s="20" t="s">
        <v>223</v>
      </c>
      <c r="C100" s="11" t="s">
        <v>186</v>
      </c>
      <c r="D100" s="33" t="n">
        <f aca="false">D99*Assumptions!$F$15*3/100</f>
        <v>12.7234285714286</v>
      </c>
      <c r="E100" s="33" t="n">
        <f aca="false">E99*Assumptions!$F$15*3/100</f>
        <v>65.5097142857143</v>
      </c>
      <c r="F100" s="33" t="n">
        <f aca="false">F99*Assumptions!$F$15*3/100</f>
        <v>202.206857142857</v>
      </c>
      <c r="G100" s="33" t="n">
        <f aca="false">G99*Assumptions!$F$15*3/100</f>
        <v>449.706857142857</v>
      </c>
      <c r="H100" s="33" t="n">
        <f aca="false">H99*Assumptions!$F$15*3/100</f>
        <v>815.106857142857</v>
      </c>
      <c r="I100" s="33" t="n">
        <f aca="false">I99*Assumptions!$F$15*3/100</f>
        <v>1305.504</v>
      </c>
      <c r="J100" s="33" t="n">
        <f aca="false">J99*Assumptions!$F$15*3/100</f>
        <v>1927.99542857143</v>
      </c>
      <c r="K100" s="33" t="n">
        <f aca="false">K99*Assumptions!$F$15*3/100</f>
        <v>2649.58971428571</v>
      </c>
      <c r="L100" s="44" t="n">
        <f aca="false">SUM(D100:K100)</f>
        <v>7428.34285714286</v>
      </c>
    </row>
    <row r="101" customFormat="false" ht="15" hidden="false" customHeight="false" outlineLevel="0" collapsed="false">
      <c r="A101" s="40" t="n">
        <v>13</v>
      </c>
      <c r="B101" s="16" t="s">
        <v>224</v>
      </c>
      <c r="C101" s="11" t="s">
        <v>186</v>
      </c>
      <c r="D101" s="44" t="n">
        <f aca="false">D94+D97+D98+D100</f>
        <v>132.005571428571</v>
      </c>
      <c r="E101" s="44" t="n">
        <f aca="false">E94+E97+E98+E100</f>
        <v>589.008857142857</v>
      </c>
      <c r="F101" s="44" t="n">
        <f aca="false">F94+F97+F98+F100</f>
        <v>1625.41388571429</v>
      </c>
      <c r="G101" s="44" t="n">
        <f aca="false">G94+G97+G98+G100</f>
        <v>3190.92498</v>
      </c>
      <c r="H101" s="44" t="n">
        <f aca="false">H94+H97+H98+H100</f>
        <v>5134.33135542857</v>
      </c>
      <c r="I101" s="44" t="n">
        <f aca="false">I94+I97+I98+I100</f>
        <v>7440.00681291429</v>
      </c>
      <c r="J101" s="44" t="n">
        <f aca="false">J94+J97+J98+J100</f>
        <v>10096.86982176</v>
      </c>
      <c r="K101" s="44" t="n">
        <f aca="false">K94+K97+K98+K100</f>
        <v>12681.555657408</v>
      </c>
      <c r="L101" s="44" t="n">
        <f aca="false">SUM(D101:K101)</f>
        <v>40890.1169417966</v>
      </c>
    </row>
    <row r="102" customFormat="false" ht="15" hidden="false" customHeight="false" outlineLevel="0" collapsed="false">
      <c r="A102" s="40" t="n">
        <v>14</v>
      </c>
      <c r="B102" s="20" t="s">
        <v>224</v>
      </c>
      <c r="C102" s="11" t="s">
        <v>225</v>
      </c>
      <c r="D102" s="45" t="n">
        <f aca="false">D101/100000</f>
        <v>0.00132005571428571</v>
      </c>
      <c r="E102" s="45" t="n">
        <f aca="false">E101/100000</f>
        <v>0.00589008857142857</v>
      </c>
      <c r="F102" s="45" t="n">
        <f aca="false">F101/100000</f>
        <v>0.0162541388571429</v>
      </c>
      <c r="G102" s="45" t="n">
        <f aca="false">G101/100000</f>
        <v>0.0319092498</v>
      </c>
      <c r="H102" s="45" t="n">
        <f aca="false">H101/100000</f>
        <v>0.0513433135542857</v>
      </c>
      <c r="I102" s="45" t="n">
        <f aca="false">I101/100000</f>
        <v>0.0744000681291429</v>
      </c>
      <c r="J102" s="45" t="n">
        <f aca="false">J101/100000</f>
        <v>0.1009686982176</v>
      </c>
      <c r="K102" s="45" t="n">
        <f aca="false">K101/100000</f>
        <v>0.12681555657408</v>
      </c>
      <c r="L102" s="46" t="n">
        <f aca="false">SUM(D102:K102)</f>
        <v>0.408901169417966</v>
      </c>
    </row>
    <row r="103" customFormat="false" ht="15" hidden="false" customHeight="false" outlineLevel="0" collapsed="false">
      <c r="A103" s="40" t="n">
        <v>15</v>
      </c>
      <c r="B103" s="20" t="s">
        <v>226</v>
      </c>
      <c r="C103" s="11" t="s">
        <v>225</v>
      </c>
      <c r="D103" s="41" t="n">
        <f aca="false">Baseline!E15</f>
        <v>7.94869047619048</v>
      </c>
      <c r="E103" s="41" t="n">
        <f aca="false">Baseline!E16</f>
        <v>8.29714285714286</v>
      </c>
      <c r="F103" s="41" t="n">
        <f aca="false">Baseline!E17</f>
        <v>8.64559523809524</v>
      </c>
      <c r="G103" s="41" t="n">
        <f aca="false">Baseline!E18</f>
        <v>8.99404761904762</v>
      </c>
      <c r="H103" s="41" t="n">
        <f aca="false">Baseline!E19</f>
        <v>9.3425</v>
      </c>
      <c r="I103" s="41" t="n">
        <f aca="false">Baseline!E20</f>
        <v>9.69095238095238</v>
      </c>
      <c r="J103" s="41" t="n">
        <f aca="false">Baseline!E21</f>
        <v>10.0394047619048</v>
      </c>
      <c r="K103" s="41" t="n">
        <f aca="false">Baseline!E22</f>
        <v>10.3878571428571</v>
      </c>
      <c r="L103" s="43" t="n">
        <f aca="false">SUM(D103:K103)</f>
        <v>73.3461904761905</v>
      </c>
    </row>
    <row r="104" customFormat="false" ht="15" hidden="false" customHeight="false" outlineLevel="0" collapsed="false">
      <c r="A104" s="40" t="n">
        <v>16</v>
      </c>
      <c r="B104" s="20" t="s">
        <v>227</v>
      </c>
      <c r="C104" s="11" t="s">
        <v>225</v>
      </c>
      <c r="D104" s="23" t="n">
        <f aca="false">D103+D102</f>
        <v>7.95001053190476</v>
      </c>
      <c r="E104" s="23" t="n">
        <f aca="false">E103+E102</f>
        <v>8.30303294571429</v>
      </c>
      <c r="F104" s="23" t="n">
        <f aca="false">F103+F102</f>
        <v>8.66184937695238</v>
      </c>
      <c r="G104" s="23" t="n">
        <f aca="false">G103+G102</f>
        <v>9.02595686884762</v>
      </c>
      <c r="H104" s="23" t="n">
        <f aca="false">H103+H102</f>
        <v>9.39384331355429</v>
      </c>
      <c r="I104" s="23" t="n">
        <f aca="false">I103+I102</f>
        <v>9.76535244908152</v>
      </c>
      <c r="J104" s="23" t="n">
        <f aca="false">J103+J102</f>
        <v>10.1403734601224</v>
      </c>
      <c r="K104" s="23" t="n">
        <f aca="false">K103+K102</f>
        <v>10.5146726994312</v>
      </c>
      <c r="L104" s="43" t="n">
        <f aca="false">SUM(D104:K104)</f>
        <v>73.7550916456085</v>
      </c>
    </row>
    <row r="105" customFormat="false" ht="15" hidden="false" customHeight="false" outlineLevel="0" collapsed="false">
      <c r="A105" s="40" t="n">
        <v>17</v>
      </c>
      <c r="B105" s="20" t="s">
        <v>228</v>
      </c>
      <c r="C105" s="11" t="s">
        <v>229</v>
      </c>
      <c r="D105" s="47" t="n">
        <f aca="false">IF(D103&gt;0,D102/D103,0)</f>
        <v>0.000166072099327532</v>
      </c>
      <c r="E105" s="47" t="n">
        <f aca="false">IF(E103&gt;0,E102/E103,0)</f>
        <v>0.000709893595041322</v>
      </c>
      <c r="F105" s="47" t="n">
        <f aca="false">IF(F103&gt;0,F102/F103,0)</f>
        <v>0.00188004855761949</v>
      </c>
      <c r="G105" s="47" t="n">
        <f aca="false">IF(G103&gt;0,G102/G103,0)</f>
        <v>0.00354781864090007</v>
      </c>
      <c r="H105" s="47" t="n">
        <f aca="false">IF(H103&gt;0,H102/H103,0)</f>
        <v>0.00549567177460912</v>
      </c>
      <c r="I105" s="47" t="n">
        <f aca="false">IF(I103&gt;0,I102/I103,0)</f>
        <v>0.00767727104669058</v>
      </c>
      <c r="J105" s="47" t="n">
        <f aca="false">IF(J103&gt;0,J102/J103,0)</f>
        <v>0.0100572395089331</v>
      </c>
      <c r="K105" s="47" t="n">
        <f aca="false">IF(K103&gt;0,K102/K103,0)</f>
        <v>0.0122080574299465</v>
      </c>
    </row>
    <row r="106" customFormat="false" ht="15" hidden="false" customHeight="false" outlineLevel="0" collapsed="false">
      <c r="A106" s="40" t="n">
        <v>18</v>
      </c>
      <c r="B106" s="20" t="s">
        <v>230</v>
      </c>
      <c r="C106" s="11" t="s">
        <v>231</v>
      </c>
      <c r="D106" s="35" t="n">
        <f aca="false">Assumptions!$F$15*3</f>
        <v>360000</v>
      </c>
      <c r="E106" s="35" t="n">
        <f aca="false">Assumptions!$F$15*3</f>
        <v>360000</v>
      </c>
      <c r="F106" s="35" t="n">
        <f aca="false">Assumptions!$F$15*3</f>
        <v>360000</v>
      </c>
      <c r="G106" s="35" t="n">
        <f aca="false">Assumptions!$F$15*3</f>
        <v>360000</v>
      </c>
      <c r="H106" s="35" t="n">
        <f aca="false">Assumptions!$F$15*3</f>
        <v>360000</v>
      </c>
      <c r="I106" s="35" t="n">
        <f aca="false">Assumptions!$F$15*3</f>
        <v>360000</v>
      </c>
      <c r="J106" s="35" t="n">
        <f aca="false">Assumptions!$F$15*3</f>
        <v>360000</v>
      </c>
      <c r="K106" s="35" t="n">
        <f aca="false">Assumptions!$F$15*3</f>
        <v>360000</v>
      </c>
    </row>
    <row r="107" customFormat="false" ht="15" hidden="false" customHeight="false" outlineLevel="0" collapsed="false">
      <c r="A107" s="40" t="n">
        <v>19</v>
      </c>
      <c r="B107" s="16" t="s">
        <v>232</v>
      </c>
      <c r="C107" s="11" t="s">
        <v>231</v>
      </c>
      <c r="D107" s="48" t="n">
        <f aca="false">IF(D92&gt;0,D106+(D94+D97+D98)*100/D92,D106)</f>
        <v>393750</v>
      </c>
      <c r="E107" s="48" t="n">
        <f aca="false">IF(E92&gt;0,E106+(E94+E97+E98)*100/E92,E106)</f>
        <v>395702.396726422</v>
      </c>
      <c r="F107" s="48" t="n">
        <f aca="false">IF(F92&gt;0,F106+(F94+F97+F98)*100/F92,F106)</f>
        <v>397480.997742664</v>
      </c>
      <c r="G107" s="48" t="n">
        <f aca="false">IF(G92&gt;0,G106+(G94+G97+G98)*100/G92,G106)</f>
        <v>399872.263605195</v>
      </c>
      <c r="H107" s="48" t="n">
        <f aca="false">IF(H92&gt;0,H106+(H94+H97+H98)*100/H92,H106)</f>
        <v>402553.935943702</v>
      </c>
      <c r="I107" s="48" t="n">
        <f aca="false">IF(I92&gt;0,I106+(I94+I97+I98)*100/I92,I106)</f>
        <v>405033.317277961</v>
      </c>
      <c r="J107" s="48" t="n">
        <f aca="false">IF(J92&gt;0,J106+(J94+J97+J98)*100/J92,J106)</f>
        <v>407242.333734567</v>
      </c>
      <c r="K107" s="48" t="n">
        <f aca="false">IF(K92&gt;0,K106+(K94+K97+K98)*100/K92,K106)</f>
        <v>410049.006914586</v>
      </c>
    </row>
    <row r="108" customFormat="false" ht="15" hidden="false" customHeight="false" outlineLevel="0" collapsed="false">
      <c r="A108" s="40" t="n">
        <v>20</v>
      </c>
      <c r="B108" s="16" t="s">
        <v>233</v>
      </c>
      <c r="C108" s="11" t="s">
        <v>229</v>
      </c>
      <c r="D108" s="49" t="n">
        <f aca="false">IF(D106&gt;0,D107/D106-1,0)</f>
        <v>0.09375</v>
      </c>
      <c r="E108" s="49" t="n">
        <f aca="false">IF(E106&gt;0,E107/E106-1,0)</f>
        <v>0.0991733242400623</v>
      </c>
      <c r="F108" s="49" t="n">
        <f aca="false">IF(F106&gt;0,F107/F106-1,0)</f>
        <v>0.10411388261851</v>
      </c>
      <c r="G108" s="49" t="n">
        <f aca="false">IF(G106&gt;0,G107/G106-1,0)</f>
        <v>0.110756287792208</v>
      </c>
      <c r="H108" s="49" t="n">
        <f aca="false">IF(H106&gt;0,H107/H106-1,0)</f>
        <v>0.118205377621393</v>
      </c>
      <c r="I108" s="49" t="n">
        <f aca="false">IF(I106&gt;0,I107/I106-1,0)</f>
        <v>0.125092547994337</v>
      </c>
      <c r="J108" s="49" t="n">
        <f aca="false">IF(J106&gt;0,J107/J106-1,0)</f>
        <v>0.131228704818242</v>
      </c>
      <c r="K108" s="49" t="n">
        <f aca="false">IF(K106&gt;0,K107/K106-1,0)</f>
        <v>0.139025019207184</v>
      </c>
    </row>
    <row r="109" customFormat="false" ht="15" hidden="false" customHeight="false" outlineLevel="0" collapsed="false">
      <c r="A109" s="40" t="n">
        <v>21</v>
      </c>
      <c r="B109" s="20" t="s">
        <v>234</v>
      </c>
      <c r="C109" s="11" t="s">
        <v>186</v>
      </c>
      <c r="D109" s="23" t="n">
        <f aca="false">D93*Assumptions!$F$20/100</f>
        <v>0.795214285714286</v>
      </c>
      <c r="E109" s="23" t="n">
        <f aca="false">E93*Assumptions!$F$20/100</f>
        <v>3.29914285714286</v>
      </c>
      <c r="F109" s="23" t="n">
        <f aca="false">F93*Assumptions!$F$20/100</f>
        <v>8.54357142857143</v>
      </c>
      <c r="G109" s="23" t="n">
        <f aca="false">G93*Assumptions!$F$20/100</f>
        <v>15.46875</v>
      </c>
      <c r="H109" s="23" t="n">
        <f aca="false">H93*Assumptions!$F$20/100</f>
        <v>22.8375</v>
      </c>
      <c r="I109" s="23" t="n">
        <f aca="false">I93*Assumptions!$F$20/100</f>
        <v>30.6498214285714</v>
      </c>
      <c r="J109" s="23" t="n">
        <f aca="false">J93*Assumptions!$F$20/100</f>
        <v>38.9057142857143</v>
      </c>
      <c r="K109" s="23" t="n">
        <f aca="false">K93*Assumptions!$F$20/100</f>
        <v>45.0996428571429</v>
      </c>
      <c r="L109" s="43" t="n">
        <f aca="false">SUM(D109:K109)</f>
        <v>165.599357142857</v>
      </c>
    </row>
    <row r="110" customFormat="false" ht="15" hidden="false" customHeight="false" outlineLevel="0" collapsed="false">
      <c r="A110" s="40" t="n">
        <v>22</v>
      </c>
      <c r="B110" s="20" t="s">
        <v>235</v>
      </c>
      <c r="C110" s="11" t="s">
        <v>186</v>
      </c>
      <c r="D110" s="23" t="n">
        <f aca="false">D92*Assumptions!$F$22*Assumptions!$F$21*3/100</f>
        <v>0.167525142857143</v>
      </c>
      <c r="E110" s="23" t="n">
        <f aca="false">E92*Assumptions!$F$22*Assumptions!$F$21*3/100</f>
        <v>0.695019428571429</v>
      </c>
      <c r="F110" s="23" t="n">
        <f aca="false">F92*Assumptions!$F$22*Assumptions!$F$21*3/100</f>
        <v>1.79984571428572</v>
      </c>
      <c r="G110" s="23" t="n">
        <f aca="false">G92*Assumptions!$F$22*Assumptions!$F$21*3/100</f>
        <v>3.25875</v>
      </c>
      <c r="H110" s="23" t="n">
        <f aca="false">H92*Assumptions!$F$22*Assumptions!$F$21*3/100</f>
        <v>4.8111</v>
      </c>
      <c r="I110" s="23" t="n">
        <f aca="false">I92*Assumptions!$F$22*Assumptions!$F$21*3/100</f>
        <v>6.45689571428572</v>
      </c>
      <c r="J110" s="23" t="n">
        <f aca="false">J92*Assumptions!$F$22*Assumptions!$F$21*3/100</f>
        <v>8.19613714285715</v>
      </c>
      <c r="K110" s="23" t="n">
        <f aca="false">K92*Assumptions!$F$22*Assumptions!$F$21*3/100</f>
        <v>9.50099142857143</v>
      </c>
      <c r="L110" s="43" t="n">
        <f aca="false">SUM(D110:K110)</f>
        <v>34.8862645714286</v>
      </c>
    </row>
    <row r="111" customFormat="false" ht="15" hidden="false" customHeight="false" outlineLevel="0" collapsed="false">
      <c r="A111" s="40" t="n">
        <v>23</v>
      </c>
      <c r="B111" s="20" t="s">
        <v>236</v>
      </c>
      <c r="C111" s="11" t="s">
        <v>186</v>
      </c>
      <c r="D111" s="23" t="n">
        <f aca="false">D101*Assumptions!$F$23</f>
        <v>0.0528022285714286</v>
      </c>
      <c r="E111" s="23" t="n">
        <f aca="false">E101*Assumptions!$F$23</f>
        <v>0.235603542857143</v>
      </c>
      <c r="F111" s="23" t="n">
        <f aca="false">F101*Assumptions!$F$23</f>
        <v>0.650165554285714</v>
      </c>
      <c r="G111" s="23" t="n">
        <f aca="false">G101*Assumptions!$F$23</f>
        <v>1.276369992</v>
      </c>
      <c r="H111" s="23" t="n">
        <f aca="false">H101*Assumptions!$F$23</f>
        <v>2.05373254217143</v>
      </c>
      <c r="I111" s="23" t="n">
        <f aca="false">I101*Assumptions!$F$23</f>
        <v>2.97600272516572</v>
      </c>
      <c r="J111" s="23" t="n">
        <f aca="false">J101*Assumptions!$F$23</f>
        <v>4.038747928704</v>
      </c>
      <c r="K111" s="23" t="n">
        <f aca="false">K101*Assumptions!$F$23</f>
        <v>5.0726222629632</v>
      </c>
      <c r="L111" s="43" t="n">
        <f aca="false">SUM(D111:K111)</f>
        <v>16.3560467767186</v>
      </c>
    </row>
    <row r="112" customFormat="false" ht="15" hidden="false" customHeight="false" outlineLevel="0" collapsed="false">
      <c r="A112" s="40" t="n">
        <v>24</v>
      </c>
      <c r="B112" s="20" t="s">
        <v>237</v>
      </c>
      <c r="C112" s="11" t="s">
        <v>186</v>
      </c>
      <c r="D112" s="23" t="n">
        <f aca="false">D99*Assumptions!$F$24*3/100</f>
        <v>0.0106028571428571</v>
      </c>
      <c r="E112" s="23" t="n">
        <f aca="false">E99*Assumptions!$F$24*3/100</f>
        <v>0.0545914285714286</v>
      </c>
      <c r="F112" s="23" t="n">
        <f aca="false">F99*Assumptions!$F$24*3/100</f>
        <v>0.168505714285714</v>
      </c>
      <c r="G112" s="23" t="n">
        <f aca="false">G99*Assumptions!$F$24*3/100</f>
        <v>0.374755714285714</v>
      </c>
      <c r="H112" s="23" t="n">
        <f aca="false">H99*Assumptions!$F$24*3/100</f>
        <v>0.679255714285714</v>
      </c>
      <c r="I112" s="23" t="n">
        <f aca="false">I99*Assumptions!$F$24*3/100</f>
        <v>1.08792</v>
      </c>
      <c r="J112" s="23" t="n">
        <f aca="false">J99*Assumptions!$F$24*3/100</f>
        <v>1.60666285714286</v>
      </c>
      <c r="K112" s="23" t="n">
        <f aca="false">K99*Assumptions!$F$24*3/100</f>
        <v>2.20799142857143</v>
      </c>
      <c r="L112" s="43" t="n">
        <f aca="false">SUM(D112:K112)</f>
        <v>6.19028571428571</v>
      </c>
    </row>
    <row r="113" customFormat="false" ht="15" hidden="false" customHeight="false" outlineLevel="0" collapsed="false">
      <c r="A113" s="40" t="n">
        <v>25</v>
      </c>
      <c r="B113" s="16" t="s">
        <v>238</v>
      </c>
      <c r="C113" s="11" t="s">
        <v>186</v>
      </c>
      <c r="D113" s="43" t="n">
        <f aca="false">SUM(D109:D112)</f>
        <v>1.02614451428571</v>
      </c>
      <c r="E113" s="43" t="n">
        <f aca="false">SUM(E109:E112)</f>
        <v>4.28435725714286</v>
      </c>
      <c r="F113" s="43" t="n">
        <f aca="false">SUM(F109:F112)</f>
        <v>11.1620884114286</v>
      </c>
      <c r="G113" s="43" t="n">
        <f aca="false">SUM(G109:G112)</f>
        <v>20.3786257062857</v>
      </c>
      <c r="H113" s="43" t="n">
        <f aca="false">SUM(H109:H112)</f>
        <v>30.3815882564572</v>
      </c>
      <c r="I113" s="43" t="n">
        <f aca="false">SUM(I109:I112)</f>
        <v>41.1706398680229</v>
      </c>
      <c r="J113" s="43" t="n">
        <f aca="false">SUM(J109:J112)</f>
        <v>52.7472622144183</v>
      </c>
      <c r="K113" s="43" t="n">
        <f aca="false">SUM(K109:K112)</f>
        <v>61.8812479772489</v>
      </c>
      <c r="L113" s="43" t="n">
        <f aca="false">SUM(D113:K113)</f>
        <v>223.03195420529</v>
      </c>
    </row>
    <row r="114" customFormat="false" ht="15" hidden="false" customHeight="false" outlineLevel="0" collapsed="false">
      <c r="A114" s="40" t="n">
        <v>26</v>
      </c>
      <c r="B114" s="20" t="s">
        <v>239</v>
      </c>
      <c r="C114" s="11" t="s">
        <v>186</v>
      </c>
      <c r="D114" s="23" t="n">
        <f aca="false">D93*Assumptions!$F$26/100</f>
        <v>0.0795214285714286</v>
      </c>
      <c r="E114" s="23" t="n">
        <f aca="false">E93*Assumptions!$F$26/100</f>
        <v>0.329914285714286</v>
      </c>
      <c r="F114" s="23" t="n">
        <f aca="false">F93*Assumptions!$F$26/100</f>
        <v>0.854357142857143</v>
      </c>
      <c r="G114" s="23" t="n">
        <f aca="false">G93*Assumptions!$F$26/100</f>
        <v>1.546875</v>
      </c>
      <c r="H114" s="23" t="n">
        <f aca="false">H93*Assumptions!$F$26/100</f>
        <v>2.28375</v>
      </c>
      <c r="I114" s="23" t="n">
        <f aca="false">I93*Assumptions!$F$26/100</f>
        <v>3.06498214285714</v>
      </c>
      <c r="J114" s="23" t="n">
        <f aca="false">J93*Assumptions!$F$26/100</f>
        <v>3.89057142857143</v>
      </c>
      <c r="K114" s="23" t="n">
        <f aca="false">K93*Assumptions!$F$26/100</f>
        <v>4.50996428571429</v>
      </c>
      <c r="L114" s="43" t="n">
        <f aca="false">SUM(D114:K114)</f>
        <v>16.5599357142857</v>
      </c>
    </row>
    <row r="115" customFormat="false" ht="15" hidden="false" customHeight="false" outlineLevel="0" collapsed="false">
      <c r="A115" s="40" t="n">
        <v>27</v>
      </c>
      <c r="B115" s="20" t="s">
        <v>240</v>
      </c>
      <c r="C115" s="11" t="s">
        <v>186</v>
      </c>
      <c r="D115" s="23" t="n">
        <f aca="false">D92*Assumptions!$F$27*3/100+D92*Assumptions!$F$22*Assumptions!$F$28*3/100</f>
        <v>0.07422</v>
      </c>
      <c r="E115" s="23" t="n">
        <f aca="false">E92*Assumptions!$F$27*3/100+E92*Assumptions!$F$22*Assumptions!$F$28*3/100</f>
        <v>0.30792</v>
      </c>
      <c r="F115" s="23" t="n">
        <f aca="false">F92*Assumptions!$F$27*3/100+F92*Assumptions!$F$22*Assumptions!$F$28*3/100</f>
        <v>0.7974</v>
      </c>
      <c r="G115" s="23" t="n">
        <f aca="false">G92*Assumptions!$F$27*3/100+G92*Assumptions!$F$22*Assumptions!$F$28*3/100</f>
        <v>1.44375</v>
      </c>
      <c r="H115" s="23" t="n">
        <f aca="false">H92*Assumptions!$F$27*3/100+H92*Assumptions!$F$22*Assumptions!$F$28*3/100</f>
        <v>2.1315</v>
      </c>
      <c r="I115" s="23" t="n">
        <f aca="false">I92*Assumptions!$F$27*3/100+I92*Assumptions!$F$22*Assumptions!$F$28*3/100</f>
        <v>2.86065</v>
      </c>
      <c r="J115" s="23" t="n">
        <f aca="false">J92*Assumptions!$F$27*3/100+J92*Assumptions!$F$22*Assumptions!$F$28*3/100</f>
        <v>3.6312</v>
      </c>
      <c r="K115" s="23" t="n">
        <f aca="false">K92*Assumptions!$F$27*3/100+K92*Assumptions!$F$22*Assumptions!$F$28*3/100</f>
        <v>4.2093</v>
      </c>
      <c r="L115" s="43" t="n">
        <f aca="false">SUM(D115:K115)</f>
        <v>15.45594</v>
      </c>
    </row>
    <row r="116" customFormat="false" ht="15" hidden="false" customHeight="false" outlineLevel="0" collapsed="false">
      <c r="A116" s="40" t="n">
        <v>28</v>
      </c>
      <c r="B116" s="20" t="s">
        <v>241</v>
      </c>
      <c r="C116" s="11" t="s">
        <v>186</v>
      </c>
      <c r="D116" s="23" t="n">
        <f aca="false">D114+D115</f>
        <v>0.153741428571429</v>
      </c>
      <c r="E116" s="23" t="n">
        <f aca="false">E114+E115</f>
        <v>0.637834285714286</v>
      </c>
      <c r="F116" s="23" t="n">
        <f aca="false">F114+F115</f>
        <v>1.65175714285714</v>
      </c>
      <c r="G116" s="23" t="n">
        <f aca="false">G114+G115</f>
        <v>2.990625</v>
      </c>
      <c r="H116" s="23" t="n">
        <f aca="false">H114+H115</f>
        <v>4.41525</v>
      </c>
      <c r="I116" s="23" t="n">
        <f aca="false">I114+I115</f>
        <v>5.92563214285714</v>
      </c>
      <c r="J116" s="23" t="n">
        <f aca="false">J114+J115</f>
        <v>7.52177142857143</v>
      </c>
      <c r="K116" s="23" t="n">
        <f aca="false">K114+K115</f>
        <v>8.71926428571429</v>
      </c>
      <c r="L116" s="43" t="n">
        <f aca="false">SUM(D116:K116)</f>
        <v>32.0158757142857</v>
      </c>
    </row>
    <row r="117" customFormat="false" ht="15" hidden="false" customHeight="false" outlineLevel="0" collapsed="false">
      <c r="A117" s="40" t="n">
        <v>29</v>
      </c>
      <c r="B117" s="16" t="s">
        <v>242</v>
      </c>
      <c r="C117" s="11" t="s">
        <v>186</v>
      </c>
      <c r="D117" s="43" t="n">
        <f aca="false">D113-D116</f>
        <v>0.872403085714286</v>
      </c>
      <c r="E117" s="43" t="n">
        <f aca="false">E113-E116</f>
        <v>3.64652297142857</v>
      </c>
      <c r="F117" s="43" t="n">
        <f aca="false">F113-F116</f>
        <v>9.51033126857143</v>
      </c>
      <c r="G117" s="43" t="n">
        <f aca="false">G113-G116</f>
        <v>17.3880007062857</v>
      </c>
      <c r="H117" s="43" t="n">
        <f aca="false">H113-H116</f>
        <v>25.9663382564572</v>
      </c>
      <c r="I117" s="43" t="n">
        <f aca="false">I113-I116</f>
        <v>35.2450077251657</v>
      </c>
      <c r="J117" s="43" t="n">
        <f aca="false">J113-J116</f>
        <v>45.2254907858469</v>
      </c>
      <c r="K117" s="43" t="n">
        <f aca="false">K113-K116</f>
        <v>53.1619836915346</v>
      </c>
      <c r="L117" s="43" t="n">
        <f aca="false">SUM(D117:K117)</f>
        <v>191.016078491004</v>
      </c>
    </row>
    <row r="118" customFormat="false" ht="15" hidden="false" customHeight="false" outlineLevel="0" collapsed="false">
      <c r="A118" s="40" t="n">
        <v>30</v>
      </c>
      <c r="B118" s="20" t="s">
        <v>243</v>
      </c>
      <c r="C118" s="11" t="s">
        <v>186</v>
      </c>
      <c r="D118" s="23" t="n">
        <f aca="false">D93*Assumptions!$F$19/100</f>
        <v>6.36171428571429</v>
      </c>
      <c r="E118" s="23" t="n">
        <f aca="false">E93*Assumptions!$F$19/100</f>
        <v>26.3931428571429</v>
      </c>
      <c r="F118" s="23" t="n">
        <f aca="false">F93*Assumptions!$F$19/100</f>
        <v>68.3485714285715</v>
      </c>
      <c r="G118" s="23" t="n">
        <f aca="false">G93*Assumptions!$F$19/100</f>
        <v>123.75</v>
      </c>
      <c r="H118" s="23" t="n">
        <f aca="false">H93*Assumptions!$F$19/100</f>
        <v>182.7</v>
      </c>
      <c r="I118" s="23" t="n">
        <f aca="false">I93*Assumptions!$F$19/100</f>
        <v>245.198571428571</v>
      </c>
      <c r="J118" s="23" t="n">
        <f aca="false">J93*Assumptions!$F$19/100</f>
        <v>311.245714285714</v>
      </c>
      <c r="K118" s="23" t="n">
        <f aca="false">K93*Assumptions!$F$19/100</f>
        <v>360.797142857143</v>
      </c>
      <c r="L118" s="43" t="n">
        <f aca="false">SUM(D118:K118)</f>
        <v>1324.79485714286</v>
      </c>
    </row>
    <row r="119" customFormat="false" ht="15" hidden="false" customHeight="false" outlineLevel="0" collapsed="false">
      <c r="A119" s="40" t="n">
        <v>31</v>
      </c>
      <c r="B119" s="20" t="s">
        <v>244</v>
      </c>
      <c r="C119" s="11" t="s">
        <v>186</v>
      </c>
      <c r="D119" s="23" t="n">
        <f aca="false">D118*Assumptions!$F$29</f>
        <v>0.508937142857143</v>
      </c>
      <c r="E119" s="23" t="n">
        <f aca="false">E118*Assumptions!$F$29</f>
        <v>2.11145142857143</v>
      </c>
      <c r="F119" s="23" t="n">
        <f aca="false">F118*Assumptions!$F$29</f>
        <v>5.46788571428572</v>
      </c>
      <c r="G119" s="23" t="n">
        <f aca="false">G118*Assumptions!$F$29</f>
        <v>9.9</v>
      </c>
      <c r="H119" s="23" t="n">
        <f aca="false">H118*Assumptions!$F$29</f>
        <v>14.616</v>
      </c>
      <c r="I119" s="23" t="n">
        <f aca="false">I118*Assumptions!$F$29</f>
        <v>19.6158857142857</v>
      </c>
      <c r="J119" s="23" t="n">
        <f aca="false">J118*Assumptions!$F$29</f>
        <v>24.8996571428571</v>
      </c>
      <c r="K119" s="23" t="n">
        <f aca="false">K118*Assumptions!$F$29</f>
        <v>28.8637714285714</v>
      </c>
      <c r="L119" s="43" t="n">
        <f aca="false">SUM(D119:K119)</f>
        <v>105.983588571429</v>
      </c>
    </row>
    <row r="120" customFormat="false" ht="15" hidden="false" customHeight="false" outlineLevel="0" collapsed="false">
      <c r="A120" s="40" t="n">
        <v>32</v>
      </c>
      <c r="B120" s="20" t="s">
        <v>245</v>
      </c>
      <c r="C120" s="11" t="s">
        <v>229</v>
      </c>
      <c r="D120" s="22" t="n">
        <f aca="false">D109/Baseline!$F$30</f>
        <v>0.00332725642558279</v>
      </c>
      <c r="E120" s="22" t="n">
        <f aca="false">E109/Baseline!$F$30</f>
        <v>0.0138039450089659</v>
      </c>
      <c r="F120" s="22" t="n">
        <f aca="false">F109/Baseline!$F$30</f>
        <v>0.0357471607890018</v>
      </c>
      <c r="G120" s="22" t="n">
        <f aca="false">G109/Baseline!$F$30</f>
        <v>0.0647228033472803</v>
      </c>
      <c r="H120" s="22" t="n">
        <f aca="false">H109/Baseline!$F$30</f>
        <v>0.0955543933054394</v>
      </c>
      <c r="I120" s="22" t="n">
        <f aca="false">I109/Baseline!$F$30</f>
        <v>0.128241930663479</v>
      </c>
      <c r="J120" s="22" t="n">
        <f aca="false">J109/Baseline!$F$30</f>
        <v>0.162785415421399</v>
      </c>
      <c r="K120" s="22" t="n">
        <f aca="false">K109/Baseline!$F$30</f>
        <v>0.188701434548715</v>
      </c>
    </row>
    <row r="121" customFormat="false" ht="15" hidden="false" customHeight="false" outlineLevel="0" collapsed="false">
      <c r="A121" s="40" t="n">
        <v>33</v>
      </c>
      <c r="B121" s="20" t="s">
        <v>246</v>
      </c>
      <c r="C121" s="11" t="s">
        <v>62</v>
      </c>
      <c r="D121" s="33" t="n">
        <f aca="false">Assumptions!$F$9*(Assumptions!$F$20-Assumptions!$F$26)+Assumptions!$F$22*(Assumptions!$F$21-Assumptions!$F$28)-Assumptions!$F$27</f>
        <v>76.3</v>
      </c>
      <c r="E121" s="33" t="n">
        <f aca="false">Assumptions!$F$9*(Assumptions!$F$20-Assumptions!$F$26)+Assumptions!$F$22*(Assumptions!$F$21-Assumptions!$F$28)-Assumptions!$F$27</f>
        <v>76.3</v>
      </c>
      <c r="F121" s="33" t="n">
        <f aca="false">Assumptions!$F$9*(Assumptions!$F$20-Assumptions!$F$26)+Assumptions!$F$22*(Assumptions!$F$21-Assumptions!$F$28)-Assumptions!$F$27</f>
        <v>76.3</v>
      </c>
      <c r="G121" s="33" t="n">
        <f aca="false">Assumptions!$F$9*(Assumptions!$F$20-Assumptions!$F$26)+Assumptions!$F$22*(Assumptions!$F$21-Assumptions!$F$28)-Assumptions!$F$27</f>
        <v>76.3</v>
      </c>
      <c r="H121" s="33" t="n">
        <f aca="false">Assumptions!$F$9*(Assumptions!$F$20-Assumptions!$F$26)+Assumptions!$F$22*(Assumptions!$F$21-Assumptions!$F$28)-Assumptions!$F$27</f>
        <v>76.3</v>
      </c>
      <c r="I121" s="33" t="n">
        <f aca="false">Assumptions!$F$9*(Assumptions!$F$20-Assumptions!$F$26)+Assumptions!$F$22*(Assumptions!$F$21-Assumptions!$F$28)-Assumptions!$F$27</f>
        <v>76.3</v>
      </c>
      <c r="J121" s="33" t="n">
        <f aca="false">Assumptions!$F$9*(Assumptions!$F$20-Assumptions!$F$26)+Assumptions!$F$22*(Assumptions!$F$21-Assumptions!$F$28)-Assumptions!$F$27</f>
        <v>76.3</v>
      </c>
      <c r="K121" s="33" t="n">
        <f aca="false">Assumptions!$F$9*(Assumptions!$F$20-Assumptions!$F$26)+Assumptions!$F$22*(Assumptions!$F$21-Assumptions!$F$28)-Assumptions!$F$27</f>
        <v>76.3</v>
      </c>
    </row>
    <row r="122" customFormat="false" ht="15" hidden="false" customHeight="false" outlineLevel="0" collapsed="false">
      <c r="A122" s="40" t="n">
        <v>34</v>
      </c>
      <c r="B122" s="20" t="s">
        <v>247</v>
      </c>
      <c r="C122" s="11" t="s">
        <v>42</v>
      </c>
      <c r="D122" s="31" t="n">
        <f aca="false">IF(Assumptions!$F$20-Assumptions!$F$26&gt;0,MAX(0,(Assumptions!$F$27-Assumptions!$F$22*(Assumptions!$F$21-Assumptions!$F$28))/(Assumptions!$F$20-Assumptions!$F$26)),0)</f>
        <v>0</v>
      </c>
      <c r="E122" s="31" t="n">
        <f aca="false">IF(Assumptions!$F$20-Assumptions!$F$26&gt;0,MAX(0,(Assumptions!$F$27-Assumptions!$F$22*(Assumptions!$F$21-Assumptions!$F$28))/(Assumptions!$F$20-Assumptions!$F$26)),0)</f>
        <v>0</v>
      </c>
      <c r="F122" s="31" t="n">
        <f aca="false">IF(Assumptions!$F$20-Assumptions!$F$26&gt;0,MAX(0,(Assumptions!$F$27-Assumptions!$F$22*(Assumptions!$F$21-Assumptions!$F$28))/(Assumptions!$F$20-Assumptions!$F$26)),0)</f>
        <v>0</v>
      </c>
      <c r="G122" s="31" t="n">
        <f aca="false">IF(Assumptions!$F$20-Assumptions!$F$26&gt;0,MAX(0,(Assumptions!$F$27-Assumptions!$F$22*(Assumptions!$F$21-Assumptions!$F$28))/(Assumptions!$F$20-Assumptions!$F$26)),0)</f>
        <v>0</v>
      </c>
      <c r="H122" s="31" t="n">
        <f aca="false">IF(Assumptions!$F$20-Assumptions!$F$26&gt;0,MAX(0,(Assumptions!$F$27-Assumptions!$F$22*(Assumptions!$F$21-Assumptions!$F$28))/(Assumptions!$F$20-Assumptions!$F$26)),0)</f>
        <v>0</v>
      </c>
      <c r="I122" s="31" t="n">
        <f aca="false">IF(Assumptions!$F$20-Assumptions!$F$26&gt;0,MAX(0,(Assumptions!$F$27-Assumptions!$F$22*(Assumptions!$F$21-Assumptions!$F$28))/(Assumptions!$F$20-Assumptions!$F$26)),0)</f>
        <v>0</v>
      </c>
      <c r="J122" s="31" t="n">
        <f aca="false">IF(Assumptions!$F$20-Assumptions!$F$26&gt;0,MAX(0,(Assumptions!$F$27-Assumptions!$F$22*(Assumptions!$F$21-Assumptions!$F$28))/(Assumptions!$F$20-Assumptions!$F$26)),0)</f>
        <v>0</v>
      </c>
      <c r="K122" s="31" t="n">
        <f aca="false">IF(Assumptions!$F$20-Assumptions!$F$26&gt;0,MAX(0,(Assumptions!$F$27-Assumptions!$F$22*(Assumptions!$F$21-Assumptions!$F$28))/(Assumptions!$F$20-Assumptions!$F$26)),0)</f>
        <v>0</v>
      </c>
    </row>
    <row r="123" customFormat="false" ht="15" hidden="false" customHeight="false" outlineLevel="0" collapsed="false">
      <c r="A123" s="40" t="n">
        <v>35</v>
      </c>
      <c r="B123" s="20" t="s">
        <v>248</v>
      </c>
      <c r="C123" s="11" t="s">
        <v>249</v>
      </c>
      <c r="D123" s="35" t="n">
        <f aca="false">Assumptions!$F$19+Assumptions!$F$20</f>
        <v>45</v>
      </c>
      <c r="E123" s="35" t="n">
        <f aca="false">Assumptions!$F$19+Assumptions!$F$20</f>
        <v>45</v>
      </c>
      <c r="F123" s="35" t="n">
        <f aca="false">Assumptions!$F$19+Assumptions!$F$20</f>
        <v>45</v>
      </c>
      <c r="G123" s="35" t="n">
        <f aca="false">Assumptions!$F$19+Assumptions!$F$20</f>
        <v>45</v>
      </c>
      <c r="H123" s="35" t="n">
        <f aca="false">Assumptions!$F$19+Assumptions!$F$20</f>
        <v>45</v>
      </c>
      <c r="I123" s="35" t="n">
        <f aca="false">Assumptions!$F$19+Assumptions!$F$20</f>
        <v>45</v>
      </c>
      <c r="J123" s="35" t="n">
        <f aca="false">Assumptions!$F$19+Assumptions!$F$20</f>
        <v>45</v>
      </c>
      <c r="K123" s="35" t="n">
        <f aca="false">Assumptions!$F$19+Assumptions!$F$20</f>
        <v>45</v>
      </c>
    </row>
    <row r="124" customFormat="false" ht="15" hidden="false" customHeight="false" outlineLevel="0" collapsed="false">
      <c r="A124" s="40" t="n">
        <v>36</v>
      </c>
      <c r="B124" s="20" t="s">
        <v>250</v>
      </c>
      <c r="C124" s="11" t="s">
        <v>229</v>
      </c>
      <c r="D124" s="22" t="n">
        <f aca="false">(Assumptions!$F$19+Assumptions!$F$20)/Assumptions!$F$10</f>
        <v>0.128571428571429</v>
      </c>
      <c r="E124" s="22" t="n">
        <f aca="false">(Assumptions!$F$19+Assumptions!$F$20)/Assumptions!$F$10</f>
        <v>0.128571428571429</v>
      </c>
      <c r="F124" s="22" t="n">
        <f aca="false">(Assumptions!$F$19+Assumptions!$F$20)/Assumptions!$F$10</f>
        <v>0.128571428571429</v>
      </c>
      <c r="G124" s="22" t="n">
        <f aca="false">(Assumptions!$F$19+Assumptions!$F$20)/Assumptions!$F$10</f>
        <v>0.128571428571429</v>
      </c>
      <c r="H124" s="22" t="n">
        <f aca="false">(Assumptions!$F$19+Assumptions!$F$20)/Assumptions!$F$10</f>
        <v>0.128571428571429</v>
      </c>
      <c r="I124" s="22" t="n">
        <f aca="false">(Assumptions!$F$19+Assumptions!$F$20)/Assumptions!$F$10</f>
        <v>0.128571428571429</v>
      </c>
      <c r="J124" s="22" t="n">
        <f aca="false">(Assumptions!$F$19+Assumptions!$F$20)/Assumptions!$F$10</f>
        <v>0.128571428571429</v>
      </c>
      <c r="K124" s="22" t="n">
        <f aca="false">(Assumptions!$F$19+Assumptions!$F$20)/Assumptions!$F$10</f>
        <v>0.128571428571429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12" min="4" style="0" width="12"/>
  </cols>
  <sheetData>
    <row r="1" customFormat="false" ht="16.15" hidden="false" customHeight="false" outlineLevel="0" collapsed="false">
      <c r="B1" s="5" t="s">
        <v>253</v>
      </c>
    </row>
    <row r="2" customFormat="false" ht="15" hidden="false" customHeight="false" outlineLevel="0" collapsed="false">
      <c r="B2" s="6" t="s">
        <v>254</v>
      </c>
    </row>
    <row r="4" customFormat="false" ht="15" hidden="false" customHeight="false" outlineLevel="0" collapsed="false">
      <c r="B4" s="50" t="s">
        <v>255</v>
      </c>
    </row>
    <row r="5" customFormat="false" ht="15" hidden="false" customHeight="false" outlineLevel="0" collapsed="false">
      <c r="B5" s="7" t="s">
        <v>256</v>
      </c>
      <c r="C5" s="7" t="s">
        <v>25</v>
      </c>
      <c r="D5" s="7" t="s">
        <v>108</v>
      </c>
      <c r="E5" s="7" t="s">
        <v>109</v>
      </c>
      <c r="F5" s="7" t="s">
        <v>110</v>
      </c>
      <c r="G5" s="7" t="s">
        <v>111</v>
      </c>
      <c r="H5" s="7" t="s">
        <v>112</v>
      </c>
      <c r="I5" s="7" t="s">
        <v>113</v>
      </c>
      <c r="J5" s="7" t="s">
        <v>114</v>
      </c>
      <c r="K5" s="7" t="s">
        <v>115</v>
      </c>
      <c r="L5" s="7" t="s">
        <v>208</v>
      </c>
    </row>
    <row r="6" customFormat="false" ht="15" hidden="false" customHeight="false" outlineLevel="0" collapsed="false">
      <c r="B6" s="20" t="s">
        <v>257</v>
      </c>
      <c r="C6" s="11" t="s">
        <v>225</v>
      </c>
      <c r="D6" s="41" t="n">
        <f aca="false">Model!D63</f>
        <v>7.94869047619048</v>
      </c>
      <c r="E6" s="41" t="n">
        <f aca="false">Model!E63</f>
        <v>8.29714285714286</v>
      </c>
      <c r="F6" s="41" t="n">
        <f aca="false">Model!F63</f>
        <v>8.64559523809524</v>
      </c>
      <c r="G6" s="41" t="n">
        <f aca="false">Model!G63</f>
        <v>8.99404761904762</v>
      </c>
      <c r="H6" s="41" t="n">
        <f aca="false">Model!H63</f>
        <v>9.3425</v>
      </c>
      <c r="I6" s="41" t="n">
        <f aca="false">Model!I63</f>
        <v>9.69095238095238</v>
      </c>
      <c r="J6" s="41" t="n">
        <f aca="false">Model!J63</f>
        <v>10.0394047619048</v>
      </c>
      <c r="K6" s="41" t="n">
        <f aca="false">Model!K63</f>
        <v>10.3878571428571</v>
      </c>
    </row>
    <row r="7" customFormat="false" ht="15" hidden="false" customHeight="false" outlineLevel="0" collapsed="false">
      <c r="B7" s="20" t="s">
        <v>258</v>
      </c>
      <c r="C7" s="11" t="s">
        <v>186</v>
      </c>
      <c r="D7" s="51" t="n">
        <f aca="false">Model!D61</f>
        <v>27.6734571428571</v>
      </c>
      <c r="E7" s="51" t="n">
        <f aca="false">Model!E61</f>
        <v>120.726565714286</v>
      </c>
      <c r="F7" s="51" t="n">
        <f aca="false">Model!F61</f>
        <v>326.575938857143</v>
      </c>
      <c r="G7" s="51" t="n">
        <f aca="false">Model!G61</f>
        <v>625.306365771429</v>
      </c>
      <c r="H7" s="51" t="n">
        <f aca="false">Model!H61</f>
        <v>979.827514611429</v>
      </c>
      <c r="I7" s="51" t="n">
        <f aca="false">Model!I61</f>
        <v>1386.31935451371</v>
      </c>
      <c r="J7" s="51" t="n">
        <f aca="false">Model!J61</f>
        <v>1842.42723530246</v>
      </c>
      <c r="K7" s="51" t="n">
        <f aca="false">Model!K61</f>
        <v>2259.62963042601</v>
      </c>
      <c r="L7" s="52" t="n">
        <f aca="false">Model!L61</f>
        <v>7568.48606233932</v>
      </c>
    </row>
    <row r="8" customFormat="false" ht="15" hidden="false" customHeight="false" outlineLevel="0" collapsed="false">
      <c r="B8" s="20" t="s">
        <v>259</v>
      </c>
      <c r="C8" s="11" t="s">
        <v>186</v>
      </c>
      <c r="D8" s="51" t="n">
        <f aca="false">Model!D54</f>
        <v>14.3138571428571</v>
      </c>
      <c r="E8" s="51" t="n">
        <f aca="false">Model!E54</f>
        <v>59.3845714285714</v>
      </c>
      <c r="F8" s="51" t="n">
        <f aca="false">Model!F54</f>
        <v>153.784285714286</v>
      </c>
      <c r="G8" s="51" t="n">
        <f aca="false">Model!G54</f>
        <v>278.4375</v>
      </c>
      <c r="H8" s="51" t="n">
        <f aca="false">Model!H54</f>
        <v>411.075</v>
      </c>
      <c r="I8" s="51" t="n">
        <f aca="false">Model!I54</f>
        <v>551.696785714286</v>
      </c>
      <c r="J8" s="51" t="n">
        <f aca="false">Model!J54</f>
        <v>700.302857142857</v>
      </c>
      <c r="K8" s="51" t="n">
        <f aca="false">Model!K54</f>
        <v>811.793571428572</v>
      </c>
      <c r="L8" s="52" t="n">
        <f aca="false">Model!L54</f>
        <v>2980.78842857143</v>
      </c>
    </row>
    <row r="9" customFormat="false" ht="15" hidden="false" customHeight="false" outlineLevel="0" collapsed="false">
      <c r="B9" s="20" t="s">
        <v>260</v>
      </c>
      <c r="C9" s="11" t="s">
        <v>186</v>
      </c>
      <c r="D9" s="51" t="n">
        <f aca="false">Model!D57</f>
        <v>0</v>
      </c>
      <c r="E9" s="51" t="n">
        <f aca="false">Model!E57</f>
        <v>4.00788</v>
      </c>
      <c r="F9" s="51" t="n">
        <f aca="false">Model!F57</f>
        <v>19.433196</v>
      </c>
      <c r="G9" s="51" t="n">
        <f aca="false">Model!G57</f>
        <v>56.6628372</v>
      </c>
      <c r="H9" s="51" t="n">
        <f aca="false">Model!H57</f>
        <v>117.62648604</v>
      </c>
      <c r="I9" s="51" t="n">
        <f aca="false">Model!I57</f>
        <v>197.439540228</v>
      </c>
      <c r="J9" s="51" t="n">
        <f aca="false">Model!J57</f>
        <v>292.6827781596</v>
      </c>
      <c r="K9" s="51" t="n">
        <f aca="false">Model!K57</f>
        <v>400.96274471172</v>
      </c>
      <c r="L9" s="52" t="n">
        <f aca="false">Model!L57</f>
        <v>1088.81546233932</v>
      </c>
    </row>
    <row r="10" customFormat="false" ht="15" hidden="false" customHeight="false" outlineLevel="0" collapsed="false">
      <c r="B10" s="20" t="s">
        <v>261</v>
      </c>
      <c r="C10" s="11" t="s">
        <v>186</v>
      </c>
      <c r="D10" s="51" t="n">
        <f aca="false">Model!D58</f>
        <v>11.4510857142857</v>
      </c>
      <c r="E10" s="51" t="n">
        <f aca="false">Model!E58</f>
        <v>47.5076571428571</v>
      </c>
      <c r="F10" s="51" t="n">
        <f aca="false">Model!F58</f>
        <v>123.027428571429</v>
      </c>
      <c r="G10" s="51" t="n">
        <f aca="false">Model!G58</f>
        <v>222.75</v>
      </c>
      <c r="H10" s="51" t="n">
        <f aca="false">Model!H58</f>
        <v>328.86</v>
      </c>
      <c r="I10" s="51" t="n">
        <f aca="false">Model!I58</f>
        <v>441.357428571429</v>
      </c>
      <c r="J10" s="51" t="n">
        <f aca="false">Model!J58</f>
        <v>560.242285714286</v>
      </c>
      <c r="K10" s="51" t="n">
        <f aca="false">Model!K58</f>
        <v>649.434857142857</v>
      </c>
      <c r="L10" s="52" t="n">
        <f aca="false">Model!L58</f>
        <v>2384.63074285714</v>
      </c>
    </row>
    <row r="11" customFormat="false" ht="15" hidden="false" customHeight="false" outlineLevel="0" collapsed="false">
      <c r="B11" s="20" t="s">
        <v>262</v>
      </c>
      <c r="C11" s="11" t="s">
        <v>186</v>
      </c>
      <c r="D11" s="51" t="n">
        <f aca="false">Model!D60</f>
        <v>1.90851428571429</v>
      </c>
      <c r="E11" s="51" t="n">
        <f aca="false">Model!E60</f>
        <v>9.82645714285715</v>
      </c>
      <c r="F11" s="51" t="n">
        <f aca="false">Model!F60</f>
        <v>30.3310285714286</v>
      </c>
      <c r="G11" s="51" t="n">
        <f aca="false">Model!G60</f>
        <v>67.4560285714286</v>
      </c>
      <c r="H11" s="51" t="n">
        <f aca="false">Model!H60</f>
        <v>122.266028571429</v>
      </c>
      <c r="I11" s="51" t="n">
        <f aca="false">Model!I60</f>
        <v>195.8256</v>
      </c>
      <c r="J11" s="51" t="n">
        <f aca="false">Model!J60</f>
        <v>289.199314285714</v>
      </c>
      <c r="K11" s="51" t="n">
        <f aca="false">Model!K60</f>
        <v>397.438457142857</v>
      </c>
      <c r="L11" s="52" t="n">
        <f aca="false">Model!L60</f>
        <v>1114.25142857143</v>
      </c>
    </row>
    <row r="12" customFormat="false" ht="15" hidden="false" customHeight="false" outlineLevel="0" collapsed="false">
      <c r="B12" s="20" t="s">
        <v>227</v>
      </c>
      <c r="C12" s="11" t="s">
        <v>225</v>
      </c>
      <c r="D12" s="41" t="n">
        <f aca="false">Model!D64</f>
        <v>7.94896721076191</v>
      </c>
      <c r="E12" s="41" t="n">
        <f aca="false">Model!E64</f>
        <v>8.2983501228</v>
      </c>
      <c r="F12" s="41" t="n">
        <f aca="false">Model!F64</f>
        <v>8.64886099748381</v>
      </c>
      <c r="G12" s="41" t="n">
        <f aca="false">Model!G64</f>
        <v>9.00030068270533</v>
      </c>
      <c r="H12" s="41" t="n">
        <f aca="false">Model!H64</f>
        <v>9.35229827514611</v>
      </c>
      <c r="I12" s="41" t="n">
        <f aca="false">Model!I64</f>
        <v>9.70481557449752</v>
      </c>
      <c r="J12" s="41" t="n">
        <f aca="false">Model!J64</f>
        <v>10.0578290342578</v>
      </c>
      <c r="K12" s="41" t="n">
        <f aca="false">Model!K64</f>
        <v>10.4104534391614</v>
      </c>
    </row>
    <row r="13" customFormat="false" ht="15" hidden="false" customHeight="false" outlineLevel="0" collapsed="false">
      <c r="B13" s="20" t="s">
        <v>263</v>
      </c>
      <c r="C13" s="11" t="s">
        <v>229</v>
      </c>
      <c r="D13" s="53" t="n">
        <f aca="false">Model!D65</f>
        <v>3.48151147987839E-005</v>
      </c>
      <c r="E13" s="53" t="n">
        <f aca="false">Model!E65</f>
        <v>0.000145503780991736</v>
      </c>
      <c r="F13" s="53" t="n">
        <f aca="false">Model!F65</f>
        <v>0.000377736789501948</v>
      </c>
      <c r="G13" s="53" t="n">
        <f aca="false">Model!G65</f>
        <v>0.000695244668759762</v>
      </c>
      <c r="H13" s="53" t="n">
        <f aca="false">Model!H65</f>
        <v>0.00104878513739516</v>
      </c>
      <c r="I13" s="53" t="n">
        <f aca="false">Model!I65</f>
        <v>0.00143052952900536</v>
      </c>
      <c r="J13" s="53" t="n">
        <f aca="false">Model!J65</f>
        <v>0.00183519569037965</v>
      </c>
      <c r="K13" s="53" t="n">
        <f aca="false">Model!K65</f>
        <v>0.00217526059451035</v>
      </c>
    </row>
    <row r="14" customFormat="false" ht="15" hidden="false" customHeight="false" outlineLevel="0" collapsed="false">
      <c r="B14" s="20" t="s">
        <v>215</v>
      </c>
      <c r="C14" s="11" t="s">
        <v>212</v>
      </c>
      <c r="D14" s="41" t="n">
        <f aca="false">Model!D52</f>
        <v>0.159042857142857</v>
      </c>
      <c r="E14" s="41" t="n">
        <f aca="false">Model!E52</f>
        <v>0.659828571428572</v>
      </c>
      <c r="F14" s="41" t="n">
        <f aca="false">Model!F52</f>
        <v>1.70871428571429</v>
      </c>
      <c r="G14" s="41" t="n">
        <f aca="false">Model!G52</f>
        <v>3.09375</v>
      </c>
      <c r="H14" s="41" t="n">
        <f aca="false">Model!H52</f>
        <v>4.5675</v>
      </c>
      <c r="I14" s="41" t="n">
        <f aca="false">Model!I52</f>
        <v>6.12996428571429</v>
      </c>
      <c r="J14" s="41" t="n">
        <f aca="false">Model!J52</f>
        <v>7.78114285714286</v>
      </c>
      <c r="K14" s="41" t="n">
        <f aca="false">Model!K52</f>
        <v>9.01992857142857</v>
      </c>
    </row>
    <row r="15" customFormat="false" ht="15" hidden="false" customHeight="false" outlineLevel="0" collapsed="false">
      <c r="B15" s="20" t="s">
        <v>264</v>
      </c>
      <c r="C15" s="11" t="s">
        <v>212</v>
      </c>
      <c r="D15" s="54" t="n">
        <f aca="false">Model!D53</f>
        <v>4.77128571428571</v>
      </c>
      <c r="E15" s="54" t="n">
        <f aca="false">Model!E53</f>
        <v>19.7948571428571</v>
      </c>
      <c r="F15" s="54" t="n">
        <f aca="false">Model!F53</f>
        <v>51.2614285714286</v>
      </c>
      <c r="G15" s="54" t="n">
        <f aca="false">Model!G53</f>
        <v>92.8125</v>
      </c>
      <c r="H15" s="54" t="n">
        <f aca="false">Model!H53</f>
        <v>137.025</v>
      </c>
      <c r="I15" s="54" t="n">
        <f aca="false">Model!I53</f>
        <v>183.898928571429</v>
      </c>
      <c r="J15" s="54" t="n">
        <f aca="false">Model!J53</f>
        <v>233.434285714286</v>
      </c>
      <c r="K15" s="54" t="n">
        <f aca="false">Model!K53</f>
        <v>270.597857142857</v>
      </c>
      <c r="L15" s="55" t="n">
        <f aca="false">Model!L53</f>
        <v>993.596142857143</v>
      </c>
    </row>
    <row r="16" customFormat="false" ht="15" hidden="false" customHeight="false" outlineLevel="0" collapsed="false">
      <c r="B16" s="20" t="s">
        <v>265</v>
      </c>
      <c r="C16" s="11" t="s">
        <v>231</v>
      </c>
      <c r="D16" s="51" t="n">
        <f aca="false">Model!D66</f>
        <v>240000</v>
      </c>
      <c r="E16" s="51" t="n">
        <f aca="false">Model!E66</f>
        <v>240000</v>
      </c>
      <c r="F16" s="51" t="n">
        <f aca="false">Model!F66</f>
        <v>240000</v>
      </c>
      <c r="G16" s="51" t="n">
        <f aca="false">Model!G66</f>
        <v>240000</v>
      </c>
      <c r="H16" s="51" t="n">
        <f aca="false">Model!H66</f>
        <v>240000</v>
      </c>
      <c r="I16" s="51" t="n">
        <f aca="false">Model!I66</f>
        <v>240000</v>
      </c>
      <c r="J16" s="51" t="n">
        <f aca="false">Model!J66</f>
        <v>240000</v>
      </c>
      <c r="K16" s="51" t="n">
        <f aca="false">Model!K66</f>
        <v>240000</v>
      </c>
    </row>
    <row r="17" customFormat="false" ht="15" hidden="false" customHeight="false" outlineLevel="0" collapsed="false">
      <c r="B17" s="20" t="s">
        <v>266</v>
      </c>
      <c r="C17" s="11" t="s">
        <v>231</v>
      </c>
      <c r="D17" s="51" t="n">
        <f aca="false">Model!D67</f>
        <v>256200</v>
      </c>
      <c r="E17" s="51" t="n">
        <f aca="false">Model!E67</f>
        <v>256807.412314887</v>
      </c>
      <c r="F17" s="51" t="n">
        <f aca="false">Model!F67</f>
        <v>257337.299322799</v>
      </c>
      <c r="G17" s="51" t="n">
        <f aca="false">Model!G67</f>
        <v>258031.526050909</v>
      </c>
      <c r="H17" s="51" t="n">
        <f aca="false">Model!H67</f>
        <v>258775.292524138</v>
      </c>
      <c r="I17" s="51" t="n">
        <f aca="false">Model!I67</f>
        <v>259420.892178575</v>
      </c>
      <c r="J17" s="51" t="n">
        <f aca="false">Model!J67</f>
        <v>259961.436893437</v>
      </c>
      <c r="K17" s="51" t="n">
        <f aca="false">Model!K67</f>
        <v>260645.298447061</v>
      </c>
    </row>
    <row r="18" customFormat="false" ht="15" hidden="false" customHeight="false" outlineLevel="0" collapsed="false">
      <c r="B18" s="20" t="s">
        <v>267</v>
      </c>
      <c r="C18" s="11" t="s">
        <v>229</v>
      </c>
      <c r="D18" s="42" t="n">
        <f aca="false">Model!D68</f>
        <v>0.0674999999999999</v>
      </c>
      <c r="E18" s="42" t="n">
        <f aca="false">Model!E68</f>
        <v>0.0700308846453623</v>
      </c>
      <c r="F18" s="42" t="n">
        <f aca="false">Model!F68</f>
        <v>0.0722387471783297</v>
      </c>
      <c r="G18" s="42" t="n">
        <f aca="false">Model!G68</f>
        <v>0.0751313585454545</v>
      </c>
      <c r="H18" s="42" t="n">
        <f aca="false">Model!H68</f>
        <v>0.0782303855172415</v>
      </c>
      <c r="I18" s="42" t="n">
        <f aca="false">Model!I68</f>
        <v>0.0809203840773951</v>
      </c>
      <c r="J18" s="42" t="n">
        <f aca="false">Model!J68</f>
        <v>0.0831726537226536</v>
      </c>
      <c r="K18" s="42" t="n">
        <f aca="false">Model!K68</f>
        <v>0.0860220768627538</v>
      </c>
    </row>
    <row r="19" customFormat="false" ht="15" hidden="false" customHeight="false" outlineLevel="0" collapsed="false">
      <c r="B19" s="20" t="s">
        <v>268</v>
      </c>
      <c r="C19" s="11" t="s">
        <v>186</v>
      </c>
      <c r="D19" s="41" t="n">
        <f aca="false">Model!D73</f>
        <v>0.22744719</v>
      </c>
      <c r="E19" s="41" t="n">
        <f aca="false">Model!E73</f>
        <v>0.948134476285715</v>
      </c>
      <c r="F19" s="41" t="n">
        <f aca="false">Model!F73</f>
        <v>2.46639092554286</v>
      </c>
      <c r="G19" s="41" t="n">
        <f aca="false">Model!G73</f>
        <v>4.49329182845143</v>
      </c>
      <c r="H19" s="41" t="n">
        <f aca="false">Model!H73</f>
        <v>6.68190278798743</v>
      </c>
      <c r="I19" s="41" t="n">
        <f aca="false">Model!I73</f>
        <v>9.03189343466263</v>
      </c>
      <c r="J19" s="41" t="n">
        <f aca="false">Model!J73</f>
        <v>11.5435195512638</v>
      </c>
      <c r="K19" s="41" t="n">
        <f aca="false">Model!K73</f>
        <v>13.5008139021704</v>
      </c>
      <c r="L19" s="56" t="n">
        <f aca="false">Model!L73</f>
        <v>48.8933940963643</v>
      </c>
    </row>
    <row r="20" customFormat="false" ht="15" hidden="false" customHeight="false" outlineLevel="0" collapsed="false">
      <c r="B20" s="20" t="s">
        <v>242</v>
      </c>
      <c r="C20" s="11" t="s">
        <v>186</v>
      </c>
      <c r="D20" s="41" t="n">
        <f aca="false">Model!D77</f>
        <v>0.134407118571429</v>
      </c>
      <c r="E20" s="41" t="n">
        <f aca="false">Model!E77</f>
        <v>0.562134762</v>
      </c>
      <c r="F20" s="41" t="n">
        <f aca="false">Model!F77</f>
        <v>1.4667930684</v>
      </c>
      <c r="G20" s="41" t="n">
        <f aca="false">Model!G77</f>
        <v>2.68344807845143</v>
      </c>
      <c r="H20" s="41" t="n">
        <f aca="false">Model!H77</f>
        <v>4.00991528798743</v>
      </c>
      <c r="I20" s="41" t="n">
        <f aca="false">Model!I77</f>
        <v>5.44586432751977</v>
      </c>
      <c r="J20" s="41" t="n">
        <f aca="false">Model!J77</f>
        <v>6.99155097983527</v>
      </c>
      <c r="K20" s="41" t="n">
        <f aca="false">Model!K77</f>
        <v>8.22415568788469</v>
      </c>
      <c r="L20" s="56" t="n">
        <f aca="false">Model!L77</f>
        <v>29.51826931065</v>
      </c>
    </row>
    <row r="21" customFormat="false" ht="15" hidden="false" customHeight="false" outlineLevel="0" collapsed="false">
      <c r="B21" s="20" t="s">
        <v>244</v>
      </c>
      <c r="C21" s="11" t="s">
        <v>186</v>
      </c>
      <c r="D21" s="41" t="n">
        <f aca="false">Model!D79</f>
        <v>0.0715692857142857</v>
      </c>
      <c r="E21" s="41" t="n">
        <f aca="false">Model!E79</f>
        <v>0.296922857142857</v>
      </c>
      <c r="F21" s="41" t="n">
        <f aca="false">Model!F79</f>
        <v>0.768921428571429</v>
      </c>
      <c r="G21" s="41" t="n">
        <f aca="false">Model!G79</f>
        <v>1.3921875</v>
      </c>
      <c r="H21" s="41" t="n">
        <f aca="false">Model!H79</f>
        <v>2.055375</v>
      </c>
      <c r="I21" s="41" t="n">
        <f aca="false">Model!I79</f>
        <v>2.75848392857143</v>
      </c>
      <c r="J21" s="41" t="n">
        <f aca="false">Model!J79</f>
        <v>3.50151428571429</v>
      </c>
      <c r="K21" s="41" t="n">
        <f aca="false">Model!K79</f>
        <v>4.05896785714286</v>
      </c>
      <c r="L21" s="56" t="n">
        <f aca="false">Model!L79</f>
        <v>14.9039421428571</v>
      </c>
    </row>
    <row r="23" customFormat="false" ht="15" hidden="false" customHeight="false" outlineLevel="0" collapsed="false">
      <c r="B23" s="50" t="s">
        <v>269</v>
      </c>
    </row>
    <row r="24" customFormat="false" ht="15" hidden="false" customHeight="false" outlineLevel="0" collapsed="false">
      <c r="B24" s="7" t="s">
        <v>256</v>
      </c>
      <c r="C24" s="7" t="s">
        <v>25</v>
      </c>
      <c r="D24" s="7" t="s">
        <v>26</v>
      </c>
      <c r="E24" s="7" t="s">
        <v>27</v>
      </c>
      <c r="F24" s="7" t="s">
        <v>28</v>
      </c>
    </row>
    <row r="25" customFormat="false" ht="15" hidden="false" customHeight="false" outlineLevel="0" collapsed="false">
      <c r="B25" s="20" t="s">
        <v>270</v>
      </c>
      <c r="C25" s="11" t="s">
        <v>212</v>
      </c>
      <c r="D25" s="41" t="n">
        <f aca="false">Model!K12</f>
        <v>3.20708571428571</v>
      </c>
      <c r="E25" s="41" t="n">
        <f aca="false">Model!K52</f>
        <v>9.01992857142857</v>
      </c>
      <c r="F25" s="41" t="n">
        <f aca="false">Model!K92</f>
        <v>20.0442857142857</v>
      </c>
    </row>
    <row r="26" customFormat="false" ht="15" hidden="false" customHeight="false" outlineLevel="0" collapsed="false">
      <c r="B26" s="20" t="s">
        <v>271</v>
      </c>
      <c r="C26" s="11" t="s">
        <v>186</v>
      </c>
      <c r="D26" s="51" t="n">
        <f aca="false">Model!K21</f>
        <v>232.766491668919</v>
      </c>
      <c r="E26" s="51" t="n">
        <f aca="false">Model!K61</f>
        <v>2259.62963042601</v>
      </c>
      <c r="F26" s="51" t="n">
        <f aca="false">Model!K101</f>
        <v>12681.555657408</v>
      </c>
    </row>
    <row r="27" customFormat="false" ht="15" hidden="false" customHeight="false" outlineLevel="0" collapsed="false">
      <c r="B27" s="20" t="s">
        <v>272</v>
      </c>
      <c r="C27" s="11" t="s">
        <v>186</v>
      </c>
      <c r="D27" s="51" t="n">
        <f aca="false">Model!L21</f>
        <v>798.451113925193</v>
      </c>
      <c r="E27" s="51" t="n">
        <f aca="false">Model!L61</f>
        <v>7568.48606233932</v>
      </c>
      <c r="F27" s="51" t="n">
        <f aca="false">Model!L101</f>
        <v>40890.1169417966</v>
      </c>
    </row>
    <row r="28" customFormat="false" ht="15" hidden="false" customHeight="false" outlineLevel="0" collapsed="false">
      <c r="B28" s="20" t="s">
        <v>273</v>
      </c>
      <c r="C28" s="11" t="s">
        <v>229</v>
      </c>
      <c r="D28" s="53" t="n">
        <f aca="false">Model!K25</f>
        <v>0.00022407556098225</v>
      </c>
      <c r="E28" s="53" t="n">
        <f aca="false">Model!K65</f>
        <v>0.00217526059451035</v>
      </c>
      <c r="F28" s="53" t="n">
        <f aca="false">Model!K105</f>
        <v>0.0122080574299465</v>
      </c>
    </row>
    <row r="29" customFormat="false" ht="15" hidden="false" customHeight="false" outlineLevel="0" collapsed="false">
      <c r="B29" s="20" t="s">
        <v>274</v>
      </c>
      <c r="C29" s="11" t="s">
        <v>229</v>
      </c>
      <c r="D29" s="42" t="n">
        <f aca="false">Model!K28</f>
        <v>0.0392062409926364</v>
      </c>
      <c r="E29" s="42" t="n">
        <f aca="false">Model!K68</f>
        <v>0.0860220768627538</v>
      </c>
      <c r="F29" s="42" t="n">
        <f aca="false">Model!K108</f>
        <v>0.139025019207184</v>
      </c>
    </row>
    <row r="30" customFormat="false" ht="15" hidden="false" customHeight="false" outlineLevel="0" collapsed="false">
      <c r="B30" s="20" t="s">
        <v>275</v>
      </c>
      <c r="C30" s="11" t="s">
        <v>212</v>
      </c>
      <c r="D30" s="54" t="n">
        <f aca="false">Model!L13</f>
        <v>176.639314285714</v>
      </c>
      <c r="E30" s="54" t="n">
        <f aca="false">Model!L53</f>
        <v>993.596142857143</v>
      </c>
      <c r="F30" s="54" t="n">
        <f aca="false">Model!L93</f>
        <v>3311.98714285714</v>
      </c>
    </row>
    <row r="31" customFormat="false" ht="15" hidden="false" customHeight="false" outlineLevel="0" collapsed="false">
      <c r="B31" s="20" t="s">
        <v>276</v>
      </c>
      <c r="C31" s="11" t="s">
        <v>186</v>
      </c>
      <c r="D31" s="41" t="n">
        <f aca="false">Model!K33</f>
        <v>1.74645912238185</v>
      </c>
      <c r="E31" s="41" t="n">
        <f aca="false">Model!K73</f>
        <v>13.5008139021704</v>
      </c>
      <c r="F31" s="41" t="n">
        <f aca="false">Model!K113</f>
        <v>61.8812479772489</v>
      </c>
    </row>
    <row r="32" customFormat="false" ht="15" hidden="false" customHeight="false" outlineLevel="0" collapsed="false">
      <c r="B32" s="20" t="s">
        <v>277</v>
      </c>
      <c r="C32" s="11" t="s">
        <v>186</v>
      </c>
      <c r="D32" s="41" t="n">
        <f aca="false">Model!L33</f>
        <v>6.32890302842722</v>
      </c>
      <c r="E32" s="41" t="n">
        <f aca="false">Model!L73</f>
        <v>48.8933940963643</v>
      </c>
      <c r="F32" s="41" t="n">
        <f aca="false">Model!L113</f>
        <v>223.03195420529</v>
      </c>
    </row>
    <row r="33" customFormat="false" ht="15" hidden="false" customHeight="false" outlineLevel="0" collapsed="false">
      <c r="B33" s="20" t="s">
        <v>278</v>
      </c>
      <c r="C33" s="11" t="s">
        <v>186</v>
      </c>
      <c r="D33" s="41" t="n">
        <f aca="false">Model!L37</f>
        <v>-2.94466097157278</v>
      </c>
      <c r="E33" s="41" t="n">
        <f aca="false">Model!L77</f>
        <v>29.51826931065</v>
      </c>
      <c r="F33" s="41" t="n">
        <f aca="false">Model!L117</f>
        <v>191.016078491004</v>
      </c>
    </row>
    <row r="34" customFormat="false" ht="15" hidden="false" customHeight="false" outlineLevel="0" collapsed="false">
      <c r="B34" s="20" t="s">
        <v>279</v>
      </c>
      <c r="C34" s="11" t="s">
        <v>229</v>
      </c>
      <c r="D34" s="42" t="n">
        <f aca="false">Model!K40</f>
        <v>0.00603844590555888</v>
      </c>
      <c r="E34" s="42" t="n">
        <f aca="false">Model!K80</f>
        <v>0.0452883442916916</v>
      </c>
      <c r="F34" s="42" t="n">
        <f aca="false">Model!K120</f>
        <v>0.188701434548715</v>
      </c>
    </row>
    <row r="35" customFormat="false" ht="15" hidden="false" customHeight="false" outlineLevel="0" collapsed="false">
      <c r="B35" s="20" t="s">
        <v>280</v>
      </c>
      <c r="C35" s="11" t="s">
        <v>186</v>
      </c>
      <c r="D35" s="41" t="n">
        <f aca="false">Model!L39</f>
        <v>0.883196571428572</v>
      </c>
      <c r="E35" s="41" t="n">
        <f aca="false">Model!L79</f>
        <v>14.9039421428571</v>
      </c>
      <c r="F35" s="41" t="n">
        <f aca="false">Model!L119</f>
        <v>105.983588571429</v>
      </c>
    </row>
    <row r="36" customFormat="false" ht="15" hidden="false" customHeight="false" outlineLevel="0" collapsed="false">
      <c r="B36" s="20" t="s">
        <v>281</v>
      </c>
      <c r="C36" s="11" t="s">
        <v>62</v>
      </c>
      <c r="D36" s="54" t="n">
        <f aca="false">Model!K41</f>
        <v>-9.8</v>
      </c>
      <c r="E36" s="54" t="n">
        <f aca="false">Model!K81</f>
        <v>25.4</v>
      </c>
      <c r="F36" s="54" t="n">
        <f aca="false">Model!K121</f>
        <v>76.3</v>
      </c>
    </row>
    <row r="37" customFormat="false" ht="15" hidden="false" customHeight="false" outlineLevel="0" collapsed="false">
      <c r="B37" s="20" t="s">
        <v>282</v>
      </c>
      <c r="C37" s="11" t="s">
        <v>42</v>
      </c>
      <c r="D37" s="54" t="n">
        <f aca="false">Model!K42</f>
        <v>14.8</v>
      </c>
      <c r="E37" s="54" t="n">
        <f aca="false">Model!K82</f>
        <v>1.53333333333333</v>
      </c>
      <c r="F37" s="54" t="n">
        <f aca="false">Model!K122</f>
        <v>0</v>
      </c>
    </row>
    <row r="38" customFormat="false" ht="15" hidden="false" customHeight="false" outlineLevel="0" collapsed="false">
      <c r="B38" s="20" t="s">
        <v>250</v>
      </c>
      <c r="C38" s="11" t="s">
        <v>229</v>
      </c>
      <c r="D38" s="42" t="n">
        <f aca="false">Model!K44</f>
        <v>0.112</v>
      </c>
      <c r="E38" s="42" t="n">
        <f aca="false">Model!K84</f>
        <v>0.113333333333333</v>
      </c>
      <c r="F38" s="42" t="n">
        <f aca="false">Model!K124</f>
        <v>0.128571428571429</v>
      </c>
    </row>
    <row r="40" customFormat="false" ht="15" hidden="false" customHeight="false" outlineLevel="0" collapsed="false">
      <c r="B40" s="50" t="s">
        <v>283</v>
      </c>
    </row>
    <row r="41" customFormat="false" ht="15" hidden="false" customHeight="false" outlineLevel="0" collapsed="false">
      <c r="B41" s="20" t="s">
        <v>284</v>
      </c>
      <c r="C41" s="11" t="s">
        <v>225</v>
      </c>
      <c r="D41" s="41" t="n">
        <f aca="false">Baseline!E12</f>
        <v>7.1</v>
      </c>
    </row>
    <row r="42" customFormat="false" ht="15" hidden="false" customHeight="false" outlineLevel="0" collapsed="false">
      <c r="B42" s="20" t="s">
        <v>285</v>
      </c>
      <c r="C42" s="11" t="s">
        <v>225</v>
      </c>
      <c r="D42" s="41" t="n">
        <f aca="false">Baseline!E22</f>
        <v>10.3878571428571</v>
      </c>
    </row>
    <row r="43" customFormat="false" ht="15" hidden="false" customHeight="false" outlineLevel="0" collapsed="false">
      <c r="B43" s="20" t="s">
        <v>286</v>
      </c>
      <c r="C43" s="11" t="s">
        <v>225</v>
      </c>
      <c r="D43" s="41" t="n">
        <f aca="false">Baseline!G22</f>
        <v>12.8514257101601</v>
      </c>
    </row>
    <row r="44" customFormat="false" ht="15" hidden="false" customHeight="false" outlineLevel="0" collapsed="false">
      <c r="B44" s="20" t="s">
        <v>287</v>
      </c>
      <c r="C44" s="11" t="s">
        <v>199</v>
      </c>
      <c r="D44" s="41" t="n">
        <f aca="false">Baseline!H22</f>
        <v>2.22714285714286</v>
      </c>
    </row>
    <row r="45" customFormat="false" ht="15" hidden="false" customHeight="false" outlineLevel="0" collapsed="false">
      <c r="B45" s="20" t="s">
        <v>288</v>
      </c>
      <c r="C45" s="11" t="s">
        <v>289</v>
      </c>
      <c r="D45" s="54" t="n">
        <f aca="false">Baseline!F29</f>
        <v>6.01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10"/>
  </cols>
  <sheetData>
    <row r="1" customFormat="false" ht="16.15" hidden="false" customHeight="false" outlineLevel="0" collapsed="false">
      <c r="A1" s="5" t="s">
        <v>290</v>
      </c>
    </row>
    <row r="3" customFormat="false" ht="15" hidden="false" customHeight="false" outlineLevel="0" collapsed="false">
      <c r="A3" s="7" t="s">
        <v>23</v>
      </c>
      <c r="B3" s="7" t="s">
        <v>291</v>
      </c>
      <c r="C3" s="7" t="s">
        <v>292</v>
      </c>
    </row>
    <row r="4" customFormat="false" ht="39.75" hidden="false" customHeight="true" outlineLevel="0" collapsed="false">
      <c r="A4" s="11" t="s">
        <v>167</v>
      </c>
      <c r="B4" s="3" t="s">
        <v>293</v>
      </c>
      <c r="C4" s="57" t="s">
        <v>294</v>
      </c>
    </row>
    <row r="5" customFormat="false" ht="39.75" hidden="false" customHeight="true" outlineLevel="0" collapsed="false">
      <c r="A5" s="11" t="s">
        <v>158</v>
      </c>
      <c r="B5" s="3" t="s">
        <v>295</v>
      </c>
      <c r="C5" s="57" t="s">
        <v>296</v>
      </c>
    </row>
    <row r="6" customFormat="false" ht="39.75" hidden="false" customHeight="true" outlineLevel="0" collapsed="false">
      <c r="A6" s="11" t="s">
        <v>297</v>
      </c>
      <c r="B6" s="3" t="s">
        <v>298</v>
      </c>
      <c r="C6" s="57" t="s">
        <v>299</v>
      </c>
    </row>
    <row r="7" customFormat="false" ht="39.75" hidden="false" customHeight="true" outlineLevel="0" collapsed="false">
      <c r="A7" s="11" t="s">
        <v>152</v>
      </c>
      <c r="B7" s="3" t="s">
        <v>300</v>
      </c>
      <c r="C7" s="57" t="s">
        <v>301</v>
      </c>
    </row>
    <row r="8" customFormat="false" ht="39.75" hidden="false" customHeight="true" outlineLevel="0" collapsed="false">
      <c r="A8" s="11" t="s">
        <v>149</v>
      </c>
      <c r="B8" s="3" t="s">
        <v>302</v>
      </c>
      <c r="C8" s="57" t="s">
        <v>303</v>
      </c>
    </row>
    <row r="9" customFormat="false" ht="39.75" hidden="false" customHeight="true" outlineLevel="0" collapsed="false">
      <c r="A9" s="11" t="s">
        <v>304</v>
      </c>
      <c r="B9" s="3" t="s">
        <v>305</v>
      </c>
      <c r="C9" s="57" t="s">
        <v>306</v>
      </c>
    </row>
    <row r="10" customFormat="false" ht="39.75" hidden="false" customHeight="true" outlineLevel="0" collapsed="false">
      <c r="A10" s="11" t="s">
        <v>307</v>
      </c>
      <c r="B10" s="3" t="s">
        <v>308</v>
      </c>
      <c r="C10" s="57" t="s">
        <v>309</v>
      </c>
    </row>
    <row r="11" customFormat="false" ht="39.75" hidden="false" customHeight="true" outlineLevel="0" collapsed="false">
      <c r="A11" s="11" t="s">
        <v>310</v>
      </c>
      <c r="B11" s="3" t="s">
        <v>311</v>
      </c>
      <c r="C11" s="57" t="s">
        <v>312</v>
      </c>
    </row>
    <row r="12" customFormat="false" ht="39.75" hidden="false" customHeight="true" outlineLevel="0" collapsed="false">
      <c r="A12" s="11" t="s">
        <v>313</v>
      </c>
      <c r="B12" s="3" t="s">
        <v>314</v>
      </c>
      <c r="C12" s="57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2026-10-27T01:52:45Z</dcterms:created>
  <dc:creator>openpyxl</dc:creator>
  <dc:description/>
  <dc:language>en-US</dc:language>
  <cp:lastModifiedBy/>
  <dcterms:modified xsi:type="dcterms:W3CDTF">2026-10-27T01:52:46Z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